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K:\Онлайн-курс_финграмота\Бесплатный курс_Как вести личный и семейный бюджет\Бесплатный курс_финиш\Excel\Для телеграм\"/>
    </mc:Choice>
  </mc:AlternateContent>
  <bookViews>
    <workbookView xWindow="0" yWindow="0" windowWidth="23040" windowHeight="9390" activeTab="1"/>
  </bookViews>
  <sheets>
    <sheet name="Nusqaulyq" sheetId="8" r:id="rId1"/>
    <sheet name="Derek" sheetId="1" r:id="rId2"/>
    <sheet name="Esep" sheetId="5" r:id="rId3"/>
    <sheet name="Anyqtamalyqtar" sheetId="2" r:id="rId4"/>
  </sheets>
  <calcPr calcId="152511"/>
  <pivotCaches>
    <pivotCache cacheId="10" r:id="rId5"/>
  </pivotCaches>
</workbook>
</file>

<file path=xl/calcChain.xml><?xml version="1.0" encoding="utf-8"?>
<calcChain xmlns="http://schemas.openxmlformats.org/spreadsheetml/2006/main">
  <c r="M3" i="5" l="1"/>
  <c r="N3" i="5"/>
  <c r="M4" i="5"/>
  <c r="N4" i="5"/>
  <c r="M5" i="5"/>
  <c r="N5" i="5"/>
  <c r="M6" i="5"/>
  <c r="B7" i="5"/>
  <c r="N6" i="5" l="1"/>
</calcChain>
</file>

<file path=xl/sharedStrings.xml><?xml version="1.0" encoding="utf-8"?>
<sst xmlns="http://schemas.openxmlformats.org/spreadsheetml/2006/main" count="156" uniqueCount="110">
  <si>
    <t>Күні</t>
  </si>
  <si>
    <t>Операциялар</t>
  </si>
  <si>
    <t>Топ</t>
  </si>
  <si>
    <t>Аналитикалық топ</t>
  </si>
  <si>
    <t>Сома</t>
  </si>
  <si>
    <t>Ескерту</t>
  </si>
  <si>
    <t>Жалақы</t>
  </si>
  <si>
    <t>Зейнетақы</t>
  </si>
  <si>
    <t>Салымнан түскен табыс</t>
  </si>
  <si>
    <t>Салымның түсуі</t>
  </si>
  <si>
    <t>Өтеусіз түсім</t>
  </si>
  <si>
    <t>Кредиттің түсуі</t>
  </si>
  <si>
    <t>Кірістер топтары</t>
  </si>
  <si>
    <t>Шығыстар топтары</t>
  </si>
  <si>
    <t>Тұрғын үй</t>
  </si>
  <si>
    <t>Азық-түлік</t>
  </si>
  <si>
    <t>Көлік</t>
  </si>
  <si>
    <t>Қаржылық міндеттемелер</t>
  </si>
  <si>
    <t>Байланыс және интернет</t>
  </si>
  <si>
    <t>Денсаулық</t>
  </si>
  <si>
    <t>Жинақтар және инвестициялар</t>
  </si>
  <si>
    <t>Үй шаруашылығы</t>
  </si>
  <si>
    <t>Білім беру</t>
  </si>
  <si>
    <t>Жеке заттар</t>
  </si>
  <si>
    <t>Мәдениет, демалыс және спорт</t>
  </si>
  <si>
    <t>Көмек және қайырымдылық</t>
  </si>
  <si>
    <t>Кірістер аналитикасы</t>
  </si>
  <si>
    <t>Негізгі табыс</t>
  </si>
  <si>
    <t>Айнымалы табыс</t>
  </si>
  <si>
    <t>Қарыз қаражаты</t>
  </si>
  <si>
    <t>Шығыстар аналитикасы</t>
  </si>
  <si>
    <t>Негізгі шығыстар</t>
  </si>
  <si>
    <t>Сапалы шығыстар</t>
  </si>
  <si>
    <t>Өзге және қалауы бойынша шығыстар</t>
  </si>
  <si>
    <t>Кіріс</t>
  </si>
  <si>
    <t>Шығыс</t>
  </si>
  <si>
    <t>Қалған ақша</t>
  </si>
  <si>
    <t>Ақша ағыны</t>
  </si>
  <si>
    <t>Сома, тг</t>
  </si>
  <si>
    <t>Барлығы</t>
  </si>
  <si>
    <t>Парақ</t>
  </si>
  <si>
    <t>Мақсаты</t>
  </si>
  <si>
    <t>Осы нұсқаулығы бар парақ</t>
  </si>
  <si>
    <t>Мұнда барлық операцияларды енгізесіз (ақылды кесте)</t>
  </si>
  <si>
    <t>Жиынтық кестелер мен графиктер (автоматты жаңарады)</t>
  </si>
  <si>
    <t>Топтар мен аналитика тізімдері (өңдеуге болады)</t>
  </si>
  <si>
    <t>Nusqaulyq</t>
  </si>
  <si>
    <t>Derek</t>
  </si>
  <si>
    <t>Esep</t>
  </si>
  <si>
    <t>Anyqtamalyqtar</t>
  </si>
  <si>
    <t>Кесте</t>
  </si>
  <si>
    <t>Не бар</t>
  </si>
  <si>
    <t>Кірістердің аналитикалық санаттары</t>
  </si>
  <si>
    <t>Шығыстардың аналитикалық санаттары</t>
  </si>
  <si>
    <t>➕ Жаңа жолды қалай қосу керек
Кестенің астындағы бірінші бос жолда жаза бастаңыз — Excel автоматты түрде:
Оны кестеге қосады
Деректерді тексеруді көшіреді (ашылатын тізімдер)
Пішімдеуді көшіреді
💡 Егер қандай да бір себеппен жаңа жолда ашылатын тізімдер пайда болмаса — кестенің бұрышынан төмен қарай оң жақ түймемен сүйреңіз → "Развернуть таблицу". Немесе соңғы толтырылған жолды көшіріп, астына қойыңыз.</t>
  </si>
  <si>
    <t>Бензин</t>
  </si>
  <si>
    <t>Желтоқсанның жалақысы</t>
  </si>
  <si>
    <t>Мараттың тойы</t>
  </si>
  <si>
    <t xml:space="preserve">⚠️ Бағандардың ретін және атауларын өзгертпеңіз — "Esep" парағындағы жиынтық кестелер оларға байланған (тәуелді).
</t>
  </si>
  <si>
    <t>Парақ/График</t>
  </si>
  <si>
    <t>Не көрсетеді</t>
  </si>
  <si>
    <t>Топтар бойынша кірістер диаграммасы</t>
  </si>
  <si>
    <t>Шығыстардың жалпы құрылымы</t>
  </si>
  <si>
    <t>Топтар бойынша шығыстардың егжей-тегжейі</t>
  </si>
  <si>
    <t>Жалпы түсімдер мен шығыстар графигі</t>
  </si>
  <si>
    <t>Ақша кірісі</t>
  </si>
  <si>
    <t>Шығыстар</t>
  </si>
  <si>
    <t>Шығыс топтары</t>
  </si>
  <si>
    <t>💡 Егер графиктер бірден жаңармаса — оларды қолмен жаңартыңыз: графикті басыңыз → "Обновить" немесе F5.</t>
  </si>
  <si>
    <t>❌ Болмайды</t>
  </si>
  <si>
    <t>Неге</t>
  </si>
  <si>
    <t>Жиынтық кестелер атауларға байланған</t>
  </si>
  <si>
    <t>Бағандардың ретін өзгерту</t>
  </si>
  <si>
    <t>Жиынтық кестелер мен формулалар бұзылады</t>
  </si>
  <si>
    <t>Ақылды кестені қарапайым диапазонға айналдыру</t>
  </si>
  <si>
    <t>Ашылатын тізімдер мен автокеңейту жоғалады</t>
  </si>
  <si>
    <t>Тәуелді тізімдер жұмыс істемейді</t>
  </si>
  <si>
    <t>Парақтарды қайта атау</t>
  </si>
  <si>
    <t>Жиынтық кестелер мен формулалар жұмыс істемейді</t>
  </si>
  <si>
    <t>Қорытынды есептеу бұзылады</t>
  </si>
  <si>
    <r>
      <rPr>
        <b/>
        <sz val="10"/>
        <color rgb="FF0F1115"/>
        <rFont val="Segoe UI"/>
        <family val="2"/>
        <charset val="204"/>
      </rPr>
      <t>2-ҚАДАМ. "Derek" парағындағы ескі деректерді тазалаңыз</t>
    </r>
    <r>
      <rPr>
        <sz val="10"/>
        <color rgb="FF0F1115"/>
        <rFont val="Segoe UI"/>
        <family val="2"/>
        <charset val="204"/>
      </rPr>
      <t xml:space="preserve">
"Derek" парағына өтіңіз
Деректері бар барлық жолдарды таңдаңыз (тақырыпшаны емес!)
Кесте тақырыпшасының астындағы бірінші бос жолды басыңыз
Ctrl + Shift + ↓ басыңыз (соңына дейін таңдайды)
Немесе тінтуірмен бірінші деректер жолынан соңғысына дейін сүйреңіз
Delete (немесе Del) басыңыз
Баған тақырыпшаларын жоймаңыз! (Күні, Операциялар, Топ, Аналитикалық топ, Сомма, Ескерту)
Кестенің өзін жоймаңыз! — ол бос күйінде қалуы керек
</t>
    </r>
    <r>
      <rPr>
        <sz val="10"/>
        <color rgb="FFFF0000"/>
        <rFont val="Segoe UI"/>
        <family val="2"/>
        <charset val="204"/>
      </rPr>
      <t>⚠️ Маңызды: Егер кестені кездейсоқ жойып алсаңыз — әрекетті болдырмаңыз (Ctrl + Z) және тек тақырыпша астындағы жолдарды таңдап, қайта көріңіз.</t>
    </r>
  </si>
  <si>
    <r>
      <t xml:space="preserve">Не істеуге болады:
✅ Сол күйінде қалдыру — егер тізімдер сізге сәйкес келсе
✅ Жаңаларын қосу — қажетті кестеге жол қосыңыз
✅ Артықтарын жою — қажет емес топтың жолын жойыңыз
✅ Қайта атау — топ атауын тікелей ұяшықта өзгертіңіз
💡 Анықтамалыққа топ қосқаннан кейін ол "Derek" парағындағы ашылатын тізімде автоматты түрде пайда болады.
</t>
    </r>
    <r>
      <rPr>
        <sz val="10"/>
        <color rgb="FFFF0000"/>
        <rFont val="Segoe UI"/>
        <family val="2"/>
        <charset val="204"/>
      </rPr>
      <t>⚠️ Маңызды: Кестелердің өздерін және олардың тақырыпшаларын жоймаңыз — тек ішіндегі жолдарды.</t>
    </r>
  </si>
  <si>
    <t>📋 Файлдың құрылымы</t>
  </si>
  <si>
    <t>"Derek" парағындағы баған тақырыпшаларын жою</t>
  </si>
  <si>
    <t>"Сома" бағанына мәтін енгізу</t>
  </si>
  <si>
    <r>
      <rPr>
        <b/>
        <sz val="10"/>
        <color rgb="FF0F1115"/>
        <rFont val="Segoe UI"/>
        <family val="2"/>
        <charset val="204"/>
      </rPr>
      <t>4-ҚАДАМ. "Derek" парағына өз деректеріңізді енгізіңіз</t>
    </r>
    <r>
      <rPr>
        <sz val="10"/>
        <color rgb="FF0F1115"/>
        <rFont val="Segoe UI"/>
        <family val="2"/>
        <charset val="204"/>
      </rPr>
      <t xml:space="preserve">
Кесте тақырыпшасының астындағы бірінші бос жолдан бастаңыз. Бағандар бойынша толтырыңыз:
A бағаны — </t>
    </r>
    <r>
      <rPr>
        <b/>
        <sz val="10"/>
        <color rgb="FF0F1115"/>
        <rFont val="Segoe UI"/>
        <family val="2"/>
        <charset val="204"/>
      </rPr>
      <t>Күні</t>
    </r>
    <r>
      <rPr>
        <sz val="10"/>
        <color rgb="FF0F1115"/>
        <rFont val="Segoe UI"/>
        <family val="2"/>
        <charset val="204"/>
      </rPr>
      <t xml:space="preserve">
Операция күнін енгізіңіз. Формат: кк.аа.жжжж (мысалы, 15.01.2025).
B бағаны — </t>
    </r>
    <r>
      <rPr>
        <b/>
        <sz val="10"/>
        <color rgb="FF0F1115"/>
        <rFont val="Segoe UI"/>
        <family val="2"/>
        <charset val="204"/>
      </rPr>
      <t>Операциялар</t>
    </r>
    <r>
      <rPr>
        <sz val="10"/>
        <color rgb="FF0F1115"/>
        <rFont val="Segoe UI"/>
        <family val="2"/>
        <charset val="204"/>
      </rPr>
      <t xml:space="preserve">
Ұяшықты басыңыз → ашылатын тізімнің көрсеткісі пайда болады → таңдаңыз:
Кіріс — егер бұл кіріс болса
Шығыс — егер бұл шығыс болса
C бағаны — </t>
    </r>
    <r>
      <rPr>
        <b/>
        <sz val="10"/>
        <color rgb="FF0F1115"/>
        <rFont val="Segoe UI"/>
        <family val="2"/>
        <charset val="204"/>
      </rPr>
      <t>Топ</t>
    </r>
    <r>
      <rPr>
        <sz val="10"/>
        <color rgb="FF0F1115"/>
        <rFont val="Segoe UI"/>
        <family val="2"/>
        <charset val="204"/>
      </rPr>
      <t xml:space="preserve">
Операцияны таңдағаннан кейін ұяшықты басыңыз → тізімде операция түріне сәйкес келетін топтар ғана пайда болады:
"Кіріс" үшін → Жалақы, Салымнан түскен табыс …
"Шығыс" үшін → Азық-түлік, Транспорт, Тұрғын үй…
Қажетті топты таңдаңыз.
D бағаны — </t>
    </r>
    <r>
      <rPr>
        <b/>
        <sz val="10"/>
        <color rgb="FF0F1115"/>
        <rFont val="Segoe UI"/>
        <family val="2"/>
        <charset val="204"/>
      </rPr>
      <t>Аналитикалық топ</t>
    </r>
    <r>
      <rPr>
        <sz val="10"/>
        <color rgb="FF0F1115"/>
        <rFont val="Segoe UI"/>
        <family val="2"/>
        <charset val="204"/>
      </rPr>
      <t xml:space="preserve">
Сол сияқты — тізім таңдалған операцияға байланысты:
"Кіріс" үшін → Негізгі табыс, Айнымалы табыс…
"Шығыс" үшін → Негізгі шығыстар, Қаржылық міндеттемелер…
Қажетті аналитиканы таңдаңыз.</t>
    </r>
  </si>
  <si>
    <r>
      <rPr>
        <b/>
        <sz val="10"/>
        <color rgb="FF0F1115"/>
        <rFont val="Segoe UI"/>
        <family val="2"/>
        <charset val="204"/>
      </rPr>
      <t>3-ҚАДАМ. Анықтамалықтарды тексеріңіз ("Anyqtamalyqtar" парағы)</t>
    </r>
    <r>
      <rPr>
        <sz val="10"/>
        <color rgb="FF0F1115"/>
        <rFont val="Segoe UI"/>
        <family val="2"/>
        <charset val="204"/>
      </rPr>
      <t xml:space="preserve">
"Anyqtamalyqtar" парағына өтіңіз. Онда 4 ақылды кесте бар:</t>
    </r>
  </si>
  <si>
    <t>Кіріс топтарының тізімі (Жалақы, Салымнан түскен табыс, …)</t>
  </si>
  <si>
    <t>Шығыс топтарының тізімі (Аэық түлік, Көлік, …)</t>
  </si>
  <si>
    <r>
      <rPr>
        <b/>
        <sz val="11"/>
        <color theme="1"/>
        <rFont val="Calibri"/>
        <family val="2"/>
        <charset val="204"/>
        <scheme val="minor"/>
      </rPr>
      <t>5-ҚАДАМ. Толтыру үлгісін тексеріңіз</t>
    </r>
    <r>
      <rPr>
        <sz val="11"/>
        <color theme="1"/>
        <rFont val="Calibri"/>
        <family val="2"/>
        <scheme val="minor"/>
      </rPr>
      <t xml:space="preserve">
Төменде — дұрыс толтыру үлгісі:
</t>
    </r>
  </si>
  <si>
    <t>Ыдысаяқ</t>
  </si>
  <si>
    <r>
      <rPr>
        <b/>
        <sz val="11"/>
        <color theme="1"/>
        <rFont val="Calibri"/>
        <family val="2"/>
        <charset val="204"/>
        <scheme val="minor"/>
      </rPr>
      <t>7-ҚАДАМ. Файлмен күнделікті жұмыс</t>
    </r>
    <r>
      <rPr>
        <sz val="11"/>
        <color theme="1"/>
        <rFont val="Calibri"/>
        <family val="2"/>
        <scheme val="minor"/>
      </rPr>
      <t xml:space="preserve">
Әрбір операция болған сайын:
Файлды ашыңыз
"Derek" парағына өтіңіз
Операциясы бар жаңа жол қосыңыз
5 бағанды толтырыңыз (Күндер, Операциялар, Топ, Аналитикалық топ, Сома)
"Esep" парағына өтіңіз
"Обновить всё" (Ctrl + Alt + F5) басыңыз
</t>
    </r>
    <r>
      <rPr>
        <sz val="11"/>
        <color rgb="FFFF0000"/>
        <rFont val="Calibri"/>
        <family val="2"/>
        <charset val="204"/>
        <scheme val="minor"/>
      </rPr>
      <t>Дайын! Есептер мен графиктер автоматты түрде жаңарады. ✅</t>
    </r>
    <r>
      <rPr>
        <sz val="11"/>
        <color theme="1"/>
        <rFont val="Calibri"/>
        <family val="2"/>
        <scheme val="minor"/>
      </rPr>
      <t xml:space="preserve">
</t>
    </r>
  </si>
  <si>
    <t>⚠️ НЕ ІСТЕУГЕ БОЛМАЙДЫ</t>
  </si>
  <si>
    <r>
      <t xml:space="preserve">💾 Файлды сақтау
Excel Online — автоматты сақталады
ДК-дегі Excel — Ctrl + S. Формат — .xlsx (файлда макрос жоқ)
</t>
    </r>
    <r>
      <rPr>
        <sz val="11"/>
        <color rgb="FFFF0000"/>
        <rFont val="Calibri"/>
        <family val="2"/>
        <charset val="204"/>
        <scheme val="minor"/>
      </rPr>
      <t>Ұсыныс:</t>
    </r>
    <r>
      <rPr>
        <sz val="11"/>
        <rFont val="Calibri"/>
        <family val="2"/>
        <scheme val="minor"/>
      </rPr>
      <t xml:space="preserve"> аптасына бір рет сақтық көшірме жасаңыз — файлды күнімен атап көшіріңіз (Budget_free_2026-09-15.xlsx).</t>
    </r>
  </si>
  <si>
    <t>Отбасылық бюджетпен сәтті жұмыс! 💰
Сұрақтар туындаса — жазыңыз, көмектесемін.</t>
  </si>
  <si>
    <t>Әзірлеуші</t>
  </si>
  <si>
    <t>Тойбеков Сәкен</t>
  </si>
  <si>
    <t>Сайт</t>
  </si>
  <si>
    <t>https://coursesapp-e9669.web.app</t>
  </si>
  <si>
    <t>Телеграм -бот</t>
  </si>
  <si>
    <t>https://t.me/saken_assistant_bot</t>
  </si>
  <si>
    <t>📘 Пайдаланушыға арналған нұсқаулық</t>
  </si>
  <si>
    <r>
      <t xml:space="preserve">
Excel-дегі отбасылық бюджет — жұмысты қалай бастау керек
🎯 Бұл файл не үшін керек
Бұл — отбасылық кірістер мен шығыстарды есепке алуға арналған дайын шаблон. Ол мыналарға мүмкіндік береді:
✅ Ыңғайлы ашылатын тізімдері бар операцияларды жүргізуге
✅ Есептер мен графиктерді автоматты түрде қалыптастыруға
✅ Шығыстарды топтар бойынша талдауға
✅ Excel Online-да, ДК-де, Mac-та және мобильді қосымшада жұмыс істеуге
</t>
    </r>
    <r>
      <rPr>
        <sz val="10"/>
        <color rgb="FFFF0000"/>
        <rFont val="Segoe UI"/>
        <family val="2"/>
        <charset val="204"/>
      </rPr>
      <t xml:space="preserve">
Сіздің міндетіңіз — демо-деректерді тазалап, өз деректеріңізді енгізу. Қалғанының бәрі (есептер, графиктер) автоматты түрде жаңарады.</t>
    </r>
    <r>
      <rPr>
        <sz val="10"/>
        <color rgb="FF0F1115"/>
        <rFont val="Segoe UI"/>
        <family val="2"/>
        <charset val="204"/>
      </rPr>
      <t xml:space="preserve">
</t>
    </r>
  </si>
  <si>
    <t>🚀 ҚАДАМДАРДАН ТҰРАТЫН НҰСҚАУЛЫҚ</t>
  </si>
  <si>
    <r>
      <rPr>
        <b/>
        <sz val="10"/>
        <color rgb="FF0F1115"/>
        <rFont val="Segoe UI"/>
        <family val="2"/>
        <charset val="204"/>
      </rPr>
      <t>1-ҚАДАМ. Файлдың көшірмесін жасаңыз (міндетті!)</t>
    </r>
    <r>
      <rPr>
        <sz val="10"/>
        <color rgb="FF0F1115"/>
        <rFont val="Segoe UI"/>
        <family val="2"/>
        <charset val="204"/>
      </rPr>
      <t xml:space="preserve">
Бірдеңе өзгертудің алдында — көшірме жасаңыз:
Файлды ашыңыз
Файл → Көшірме жасау (немесе компьютеріңізге жүктеп алыңыз)
Көшірмені қайта атаңыз, мысалы: Отбасылық бюджет 2025.xlsx
</t>
    </r>
    <r>
      <rPr>
        <sz val="10"/>
        <color rgb="FFFF0000"/>
        <rFont val="Segoe UI"/>
        <family val="2"/>
        <charset val="204"/>
      </rPr>
      <t>💡 Егер бірдеңе дұрыс болмаса — сізде түпнұсқа қалады.</t>
    </r>
    <r>
      <rPr>
        <sz val="10"/>
        <color rgb="FF0F1115"/>
        <rFont val="Segoe UI"/>
        <family val="2"/>
        <charset val="204"/>
      </rPr>
      <t xml:space="preserve">
</t>
    </r>
    <r>
      <rPr>
        <b/>
        <sz val="10"/>
        <color rgb="FF0F1115"/>
        <rFont val="Segoe UI"/>
        <family val="2"/>
        <charset val="204"/>
      </rPr>
      <t/>
    </r>
  </si>
  <si>
    <r>
      <t>E бағаны —</t>
    </r>
    <r>
      <rPr>
        <b/>
        <sz val="11"/>
        <color theme="1"/>
        <rFont val="Calibri"/>
        <family val="2"/>
        <charset val="204"/>
        <scheme val="minor"/>
      </rPr>
      <t xml:space="preserve"> Сома</t>
    </r>
    <r>
      <rPr>
        <sz val="11"/>
        <color theme="1"/>
        <rFont val="Calibri"/>
        <family val="2"/>
        <scheme val="minor"/>
      </rPr>
      <t xml:space="preserve">
Соманы теңгемен енгізіңіз (тек сан, ₸ белгісінсіз және бос орынсыз).
Мысалы: 1500 немесе 1500,50
F бағаны — </t>
    </r>
    <r>
      <rPr>
        <b/>
        <sz val="11"/>
        <color theme="1"/>
        <rFont val="Calibri"/>
        <family val="2"/>
        <charset val="204"/>
        <scheme val="minor"/>
      </rPr>
      <t>Ескерту</t>
    </r>
    <r>
      <rPr>
        <sz val="11"/>
        <color theme="1"/>
        <rFont val="Calibri"/>
        <family val="2"/>
        <scheme val="minor"/>
      </rPr>
      <t xml:space="preserve"> (міндетті емес)
Кез келген мәтін — мысалы, "Магнум" немесе "Наурыздағы жалақы".
</t>
    </r>
  </si>
  <si>
    <r>
      <rPr>
        <b/>
        <sz val="11"/>
        <color theme="1"/>
        <rFont val="Calibri"/>
        <family val="2"/>
        <charset val="204"/>
        <scheme val="minor"/>
      </rPr>
      <t>6-ҚАДАМ. Есептерді жаңартыңыз</t>
    </r>
    <r>
      <rPr>
        <sz val="11"/>
        <color theme="1"/>
        <rFont val="Calibri"/>
        <family val="2"/>
        <scheme val="minor"/>
      </rPr>
      <t xml:space="preserve">
Деректерді енгізгеннен кейін "Esep" парағына өтіңіз.
Жиынтық кестелерді қалай жаңарту керек:
Дербес Компьютерде  (Windows):
Кез келген жиынтық кестені оң жақ батырмамен басыңыз
"Обновить" таңдаңыз
Әрбір жиынтық кесте үшін қайталаңыз
ДК-де (барлық кестелерді бірден):
Ctrl + Alt + F5 басыңыз
немесе
Данные → Обновить всё
Excel Online-да:
Жиынтық кестені басыңыз
Жоғарыда "Сводная таблица" қойындысы пайда болады → "Обновить"
Не көресіз:</t>
    </r>
  </si>
  <si>
    <r>
      <rPr>
        <b/>
        <sz val="11"/>
        <color theme="1"/>
        <rFont val="Calibri"/>
        <family val="2"/>
        <charset val="204"/>
        <scheme val="minor"/>
      </rPr>
      <t>🛠️ Жиі қойылатын сұрақтар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color theme="1"/>
        <rFont val="Calibri"/>
        <family val="2"/>
        <charset val="204"/>
        <scheme val="minor"/>
      </rPr>
      <t>❓ Ашылатын тізімде қажетті топ жоқ болса, не істеу керек?</t>
    </r>
    <r>
      <rPr>
        <sz val="11"/>
        <color theme="1"/>
        <rFont val="Calibri"/>
        <family val="2"/>
        <charset val="204"/>
        <scheme val="minor"/>
      </rPr>
      <t xml:space="preserve">
→ "Anyqtamalyqtar" парағына өтіңіз, қажетті кестені табыңыз және жаңа топпен жол қосыңыз. "Derek" парағына оралыңыз — топ тізімде пайда болады.
</t>
    </r>
    <r>
      <rPr>
        <b/>
        <sz val="11"/>
        <color theme="1"/>
        <rFont val="Calibri"/>
        <family val="2"/>
        <charset val="204"/>
        <scheme val="minor"/>
      </rPr>
      <t>❓ Операцияны ауыстырғаннан кейін ескі топ неге қалды?</t>
    </r>
    <r>
      <rPr>
        <sz val="11"/>
        <color theme="1"/>
        <rFont val="Calibri"/>
        <family val="2"/>
        <charset val="204"/>
        <scheme val="minor"/>
      </rPr>
      <t xml:space="preserve">
→ Бұл Excel-дің ерекшелігі. "Топ" бағанындағы ескі мәнді қолмен жойыңыз және жаңартылған тізімнен жаңасын таңдаңыз.
</t>
    </r>
    <r>
      <rPr>
        <b/>
        <sz val="11"/>
        <color theme="1"/>
        <rFont val="Calibri"/>
        <family val="2"/>
        <charset val="204"/>
        <scheme val="minor"/>
      </rPr>
      <t>❓ Жаңа жолда ашылатын тізімдер жоғалды</t>
    </r>
    <r>
      <rPr>
        <sz val="11"/>
        <color theme="1"/>
        <rFont val="Calibri"/>
        <family val="2"/>
        <charset val="204"/>
        <scheme val="minor"/>
      </rPr>
      <t xml:space="preserve">
→ "Derek" кестесі осы жолды қосатынына көз жеткізіңіз. Егер жоқ болса — кестенің бұрышын сүйреңіз немесе жоғарыдағы жолдың пішімін көшіріңіз.
</t>
    </r>
    <r>
      <rPr>
        <b/>
        <sz val="11"/>
        <color theme="1"/>
        <rFont val="Calibri"/>
        <family val="2"/>
        <charset val="204"/>
        <scheme val="minor"/>
      </rPr>
      <t>❓ Жиынтық кестелер жаңармайды</t>
    </r>
    <r>
      <rPr>
        <sz val="11"/>
        <color theme="1"/>
        <rFont val="Calibri"/>
        <family val="2"/>
        <charset val="204"/>
        <scheme val="minor"/>
      </rPr>
      <t xml:space="preserve">
→ Әрбір жиынтық кестеде "Обновить" басқаныңызға көз жеткізіңіз (немесе Ctrl + Alt + F5).
</t>
    </r>
    <r>
      <rPr>
        <b/>
        <sz val="11"/>
        <color theme="1"/>
        <rFont val="Calibri"/>
        <family val="2"/>
        <charset val="204"/>
        <scheme val="minor"/>
      </rPr>
      <t>❓ Есепке жаңа топты қалай қосу керек?</t>
    </r>
    <r>
      <rPr>
        <sz val="11"/>
        <color theme="1"/>
        <rFont val="Calibri"/>
        <family val="2"/>
        <charset val="204"/>
        <scheme val="minor"/>
      </rPr>
      <t xml:space="preserve">
→ Қолмен ешнәрсе істемейсіз — есептер деректер негізінде автоматты құрылады. "Derek" парағында жаңа топпен операция қосыңыз, ол есепте пайда болады.
</t>
    </r>
    <r>
      <rPr>
        <b/>
        <sz val="11"/>
        <color theme="1"/>
        <rFont val="Calibri"/>
        <family val="2"/>
        <charset val="204"/>
        <scheme val="minor"/>
      </rPr>
      <t>❓ Бір операцияны қалай жою керек?</t>
    </r>
    <r>
      <rPr>
        <sz val="11"/>
        <color theme="1"/>
        <rFont val="Calibri"/>
        <family val="2"/>
        <charset val="204"/>
        <scheme val="minor"/>
      </rPr>
      <t xml:space="preserve">
→ "Derek" парағында жолды табыңыз → оң жақ түйме → "Удалить строки таблицы". Кесте бұзылмайды.
</t>
    </r>
    <r>
      <rPr>
        <b/>
        <sz val="11"/>
        <color theme="1"/>
        <rFont val="Calibri"/>
        <family val="2"/>
        <charset val="204"/>
        <scheme val="minor"/>
      </rPr>
      <t>❓ Барлығын қалай басынан бастау керек?</t>
    </r>
    <r>
      <rPr>
        <sz val="11"/>
        <color theme="1"/>
        <rFont val="Calibri"/>
        <family val="2"/>
        <charset val="204"/>
        <scheme val="minor"/>
      </rPr>
      <t xml:space="preserve">
→ Барлық деректер жолдарын таңдаңыз (тақырыпшасыз) → Delete. Жиынтық кестелер жаңартылғаннан кейін бос болады.
</t>
    </r>
  </si>
  <si>
    <t>"Anyqtamalyqtar" парағын немесе оның кестелерін жою</t>
  </si>
  <si>
    <t>(несколько элементов)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</si>
</sst>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0"/>
      <color rgb="FF0F1115"/>
      <name val="Segoe UI"/>
      <family val="2"/>
      <charset val="204"/>
    </font>
    <font>
      <b/>
      <sz val="10"/>
      <color rgb="FF0F1115"/>
      <name val="Segoe UI"/>
      <family val="2"/>
      <charset val="204"/>
    </font>
    <font>
      <sz val="11"/>
      <color theme="0"/>
      <name val="Calibri"/>
      <family val="2"/>
      <scheme val="minor"/>
    </font>
    <font>
      <sz val="9"/>
      <color rgb="FF0F1115"/>
      <name val="Segoe UI"/>
      <family val="2"/>
      <charset val="204"/>
    </font>
    <font>
      <sz val="9"/>
      <color rgb="FF0F1115"/>
      <name val="Segoe UI"/>
      <family val="2"/>
      <charset val="204"/>
    </font>
    <font>
      <b/>
      <sz val="9"/>
      <color rgb="FF0F1115"/>
      <name val="Segoe UI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color rgb="FFFF0000"/>
      <name val="Segoe UI"/>
      <family val="2"/>
      <charset val="204"/>
    </font>
    <font>
      <sz val="11"/>
      <color rgb="FFFF0000"/>
      <name val="Calibri"/>
      <family val="2"/>
      <scheme val="minor"/>
    </font>
    <font>
      <b/>
      <sz val="9"/>
      <color rgb="FFFF0000"/>
      <name val="Segoe UI"/>
      <family val="2"/>
      <charset val="204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3"/>
      <name val="Calibri"/>
      <family val="2"/>
      <charset val="204"/>
      <scheme val="minor"/>
    </font>
    <font>
      <b/>
      <sz val="11"/>
      <color theme="3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70C0"/>
      </left>
      <right style="dotted">
        <color rgb="FF0070C0"/>
      </right>
      <top style="dotted">
        <color rgb="FF0070C0"/>
      </top>
      <bottom style="dotted">
        <color rgb="FF0070C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0" fillId="0" borderId="0" xfId="0" applyNumberFormat="1"/>
    <xf numFmtId="3" fontId="3" fillId="0" borderId="0" xfId="0" applyNumberFormat="1" applyFont="1" applyAlignment="1">
      <alignment horizontal="center" vertical="center"/>
    </xf>
    <xf numFmtId="3" fontId="0" fillId="0" borderId="0" xfId="0" applyNumberFormat="1"/>
    <xf numFmtId="0" fontId="4" fillId="0" borderId="0" xfId="0" applyFont="1" applyAlignment="1">
      <alignment horizontal="center"/>
    </xf>
    <xf numFmtId="0" fontId="7" fillId="0" borderId="0" xfId="0" applyFont="1" applyBorder="1"/>
    <xf numFmtId="0" fontId="0" fillId="0" borderId="2" xfId="0" pivotButton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/>
    </xf>
    <xf numFmtId="3" fontId="0" fillId="0" borderId="2" xfId="0" applyNumberFormat="1" applyBorder="1"/>
    <xf numFmtId="0" fontId="0" fillId="0" borderId="2" xfId="0" applyBorder="1"/>
    <xf numFmtId="0" fontId="7" fillId="0" borderId="0" xfId="0" applyFont="1" applyBorder="1" applyAlignment="1">
      <alignment horizontal="center" vertical="center"/>
    </xf>
    <xf numFmtId="0" fontId="0" fillId="0" borderId="2" xfId="0" pivotButton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pivotButton="1" applyBorder="1"/>
    <xf numFmtId="0" fontId="0" fillId="2" borderId="2" xfId="0" applyFill="1" applyBorder="1" applyAlignment="1">
      <alignment horizontal="left"/>
    </xf>
    <xf numFmtId="3" fontId="0" fillId="2" borderId="2" xfId="0" applyNumberFormat="1" applyFill="1" applyBorder="1"/>
    <xf numFmtId="0" fontId="0" fillId="0" borderId="0" xfId="0" applyAlignment="1">
      <alignment vertical="top" wrapText="1"/>
    </xf>
    <xf numFmtId="0" fontId="10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 inden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3" fontId="4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10" fillId="3" borderId="1" xfId="0" applyFont="1" applyFill="1" applyBorder="1" applyAlignment="1">
      <alignment horizontal="center" vertical="top" wrapText="1"/>
    </xf>
    <xf numFmtId="0" fontId="9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/>
    </xf>
    <xf numFmtId="14" fontId="0" fillId="0" borderId="1" xfId="0" applyNumberFormat="1" applyBorder="1" applyAlignment="1">
      <alignment vertical="top"/>
    </xf>
    <xf numFmtId="0" fontId="0" fillId="0" borderId="0" xfId="0" applyAlignment="1">
      <alignment vertical="top"/>
    </xf>
    <xf numFmtId="0" fontId="6" fillId="0" borderId="0" xfId="0" applyFont="1" applyAlignment="1">
      <alignment vertical="top" wrapText="1"/>
    </xf>
    <xf numFmtId="0" fontId="8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11" fillId="0" borderId="0" xfId="0" applyFont="1" applyAlignment="1">
      <alignment vertical="top" wrapText="1"/>
    </xf>
    <xf numFmtId="0" fontId="14" fillId="3" borderId="1" xfId="0" applyFont="1" applyFill="1" applyBorder="1" applyAlignment="1">
      <alignment horizontal="center" vertical="top" wrapText="1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center"/>
    </xf>
    <xf numFmtId="0" fontId="0" fillId="0" borderId="0" xfId="0" applyBorder="1" applyAlignment="1">
      <alignment vertical="top"/>
    </xf>
    <xf numFmtId="0" fontId="0" fillId="0" borderId="0" xfId="0" applyBorder="1" applyAlignment="1">
      <alignment vertical="center"/>
    </xf>
    <xf numFmtId="0" fontId="17" fillId="0" borderId="0" xfId="0" applyFont="1" applyAlignment="1">
      <alignment vertical="top"/>
    </xf>
    <xf numFmtId="0" fontId="8" fillId="3" borderId="0" xfId="0" applyFont="1" applyFill="1" applyBorder="1" applyAlignment="1">
      <alignment horizontal="left" vertical="center" wrapText="1"/>
    </xf>
    <xf numFmtId="0" fontId="18" fillId="3" borderId="0" xfId="0" applyFont="1" applyFill="1" applyBorder="1" applyAlignment="1">
      <alignment horizontal="left" vertic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15" fillId="0" borderId="0" xfId="0" applyFont="1" applyAlignment="1">
      <alignment vertical="top" wrapText="1"/>
    </xf>
    <xf numFmtId="0" fontId="15" fillId="0" borderId="0" xfId="0" applyFont="1" applyAlignment="1">
      <alignment vertical="top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3" fillId="0" borderId="0" xfId="0" applyFont="1" applyAlignment="1">
      <alignment vertical="center"/>
    </xf>
    <xf numFmtId="0" fontId="5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Обычный" xfId="0" builtinId="0"/>
  </cellStyles>
  <dxfs count="142"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alignment horizontal="center" readingOrder="0"/>
    </dxf>
    <dxf>
      <alignment horizontal="center" readingOrder="0"/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alignment horizontal="center" readingOrder="0"/>
    </dxf>
    <dxf>
      <alignment horizontal="center" readingOrder="0"/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alignment horizontal="center" readingOrder="0"/>
    </dxf>
    <dxf>
      <alignment horizontal="center" readingOrder="0"/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border>
        <left style="dotted">
          <color rgb="FF0070C0"/>
        </left>
        <right style="dotted">
          <color rgb="FF0070C0"/>
        </right>
        <top style="dotted">
          <color rgb="FF0070C0"/>
        </top>
        <bottom style="dotted">
          <color rgb="FF0070C0"/>
        </bottom>
        <vertical style="dotted">
          <color rgb="FF0070C0"/>
        </vertical>
        <horizontal style="dotted">
          <color rgb="FF0070C0"/>
        </horizontal>
      </border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 b="1">
                <a:solidFill>
                  <a:schemeClr val="tx2"/>
                </a:solidFill>
              </a:rPr>
              <a:t>Ақша ағыны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4211444474613086"/>
          <c:y val="0.20834843935874919"/>
          <c:w val="0.82914992306996105"/>
          <c:h val="0.641461791196963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Esep!$N$3</c:f>
              <c:strCache>
                <c:ptCount val="1"/>
                <c:pt idx="0">
                  <c:v>Сома, тг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Esep!$M$4:$M$6</c:f>
              <c:strCache>
                <c:ptCount val="3"/>
                <c:pt idx="0">
                  <c:v>Кіріс</c:v>
                </c:pt>
                <c:pt idx="1">
                  <c:v>0</c:v>
                </c:pt>
                <c:pt idx="2">
                  <c:v>Қалған ақша</c:v>
                </c:pt>
              </c:strCache>
            </c:strRef>
          </c:cat>
          <c:val>
            <c:numRef>
              <c:f>Esep!$N$4:$N$6</c:f>
              <c:numCache>
                <c:formatCode>General</c:formatCode>
                <c:ptCount val="3"/>
                <c:pt idx="0">
                  <c:v>370000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705965016"/>
        <c:axId val="705957960"/>
      </c:barChart>
      <c:catAx>
        <c:axId val="705965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5957960"/>
        <c:crosses val="autoZero"/>
        <c:auto val="1"/>
        <c:lblAlgn val="ctr"/>
        <c:lblOffset val="100"/>
        <c:noMultiLvlLbl val="0"/>
      </c:catAx>
      <c:valAx>
        <c:axId val="705957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5965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[budget_free_kk.xlsx]Esep!СводнаяТаблица2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 b="1">
                <a:solidFill>
                  <a:schemeClr val="tx2"/>
                </a:solidFill>
              </a:rPr>
              <a:t>Кіріс құрылымы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Esep!$B$18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Esep!$A$19:$A$20</c:f>
              <c:strCache>
                <c:ptCount val="1"/>
                <c:pt idx="0">
                  <c:v>Жалақы</c:v>
                </c:pt>
              </c:strCache>
            </c:strRef>
          </c:cat>
          <c:val>
            <c:numRef>
              <c:f>Esep!$B$19:$B$20</c:f>
              <c:numCache>
                <c:formatCode>#,##0</c:formatCode>
                <c:ptCount val="1"/>
                <c:pt idx="0">
                  <c:v>370000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813839122314718"/>
          <c:y val="0.152225386720277"/>
          <c:w val="0.38186172811816632"/>
          <c:h val="0.84427505072504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[budget_free_kk.xlsx]Esep!СводнаяТаблица3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 b="1">
                <a:solidFill>
                  <a:schemeClr val="tx2"/>
                </a:solidFill>
              </a:rPr>
              <a:t>Шығыстар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Esep!$B$32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Esep!$A$33</c:f>
              <c:strCache>
                <c:ptCount val="1"/>
                <c:pt idx="0">
                  <c:v>Барлығы</c:v>
                </c:pt>
              </c:strCache>
            </c:strRef>
          </c:cat>
          <c:val>
            <c:numRef>
              <c:f>Esep!$B$33</c:f>
              <c:numCache>
                <c:formatCode>#,##0</c:formatCode>
                <c:ptCount val="1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711293392"/>
        <c:axId val="711298096"/>
      </c:barChart>
      <c:catAx>
        <c:axId val="71129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1298096"/>
        <c:crosses val="autoZero"/>
        <c:auto val="1"/>
        <c:lblAlgn val="ctr"/>
        <c:lblOffset val="100"/>
        <c:noMultiLvlLbl val="0"/>
      </c:catAx>
      <c:valAx>
        <c:axId val="71129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1293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[budget_free_kk.xlsx]Esep!СводнаяТаблица4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 b="1">
                <a:solidFill>
                  <a:schemeClr val="tx2"/>
                </a:solidFill>
              </a:rPr>
              <a:t>Шығын</a:t>
            </a:r>
            <a:r>
              <a:rPr lang="ru-RU" sz="1200" b="1" baseline="0">
                <a:solidFill>
                  <a:schemeClr val="tx2"/>
                </a:solidFill>
              </a:rPr>
              <a:t> түрлерінің үлесі</a:t>
            </a:r>
            <a:endParaRPr lang="ru-RU" sz="1200" b="1">
              <a:solidFill>
                <a:schemeClr val="tx2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Esep!$B$51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Esep!$A$52</c:f>
              <c:strCache>
                <c:ptCount val="1"/>
                <c:pt idx="0">
                  <c:v>Барлығы</c:v>
                </c:pt>
              </c:strCache>
            </c:strRef>
          </c:cat>
          <c:val>
            <c:numRef>
              <c:f>Esep!$B$52</c:f>
              <c:numCache>
                <c:formatCode>#,##0</c:formatCode>
                <c:ptCount val="1"/>
              </c:numCache>
            </c:numRef>
          </c:val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342294217628086"/>
          <c:y val="9.3345878934944448E-2"/>
          <c:w val="0.29895591244926983"/>
          <c:h val="0.9066541210650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179070</xdr:rowOff>
    </xdr:from>
    <xdr:to>
      <xdr:col>10</xdr:col>
      <xdr:colOff>152400</xdr:colOff>
      <xdr:row>11</xdr:row>
      <xdr:rowOff>179070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3810</xdr:colOff>
      <xdr:row>13</xdr:row>
      <xdr:rowOff>148590</xdr:rowOff>
    </xdr:from>
    <xdr:to>
      <xdr:col>8</xdr:col>
      <xdr:colOff>495300</xdr:colOff>
      <xdr:row>25</xdr:row>
      <xdr:rowOff>68580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419100</xdr:colOff>
      <xdr:row>28</xdr:row>
      <xdr:rowOff>3810</xdr:rowOff>
    </xdr:from>
    <xdr:to>
      <xdr:col>13</xdr:col>
      <xdr:colOff>274320</xdr:colOff>
      <xdr:row>44</xdr:row>
      <xdr:rowOff>152400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415290</xdr:colOff>
      <xdr:row>46</xdr:row>
      <xdr:rowOff>179070</xdr:rowOff>
    </xdr:from>
    <xdr:to>
      <xdr:col>10</xdr:col>
      <xdr:colOff>53340</xdr:colOff>
      <xdr:row>60</xdr:row>
      <xdr:rowOff>30480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Сакен" refreshedDate="46286.509345833336" createdVersion="5" refreshedVersion="5" minRefreshableVersion="3" recordCount="1">
  <cacheSource type="worksheet">
    <worksheetSource name="Данные"/>
  </cacheSource>
  <cacheFields count="6">
    <cacheField name="Күні" numFmtId="14">
      <sharedItems containsSemiMixedTypes="0" containsNonDate="0" containsDate="1" containsString="0" minDate="2026-09-21T00:00:00" maxDate="2026-09-22T00:00:00"/>
    </cacheField>
    <cacheField name="Операциялар" numFmtId="0">
      <sharedItems containsBlank="1" count="3">
        <s v="Кіріс"/>
        <m u="1"/>
        <s v="Шығыс" u="1"/>
      </sharedItems>
    </cacheField>
    <cacheField name="Топ" numFmtId="0">
      <sharedItems containsBlank="1" count="15">
        <s v="Жалақы"/>
        <m u="1"/>
        <s v="Көмек және қайырымдылық" u="1"/>
        <s v="Қаржылық міндеттемелер" u="1"/>
        <s v="Зейнетақы" u="1"/>
        <s v="Салымнан түскен табыс" u="1"/>
        <s v="Үй шаруашылығы" u="1"/>
        <s v="Кредиттің түсуі" u="1"/>
        <s v="Мәдениет, демалыс және спорт" u="1"/>
        <s v="Тұрғын үй" u="1"/>
        <s v="Жинақтар және инвестициялар" u="1"/>
        <s v="Көлік" u="1"/>
        <s v="Азық-түлік" u="1"/>
        <s v="Денсаулық" u="1"/>
        <s v="Байланыс және интернет" u="1"/>
      </sharedItems>
    </cacheField>
    <cacheField name="Аналитикалық топ" numFmtId="0">
      <sharedItems containsBlank="1" count="8">
        <s v="Негізгі табыс"/>
        <m u="1"/>
        <s v="Негізгі шығыстар" u="1"/>
        <s v="Қаржылық міндеттемелер" u="1"/>
        <s v="Өзге және қалауы бойынша шығыстар" u="1"/>
        <s v="Жинақтар және инвестициялар" u="1"/>
        <s v="Сапалы шығыстар" u="1"/>
        <s v="Қарыз қаражаты" u="1"/>
      </sharedItems>
    </cacheField>
    <cacheField name="Сома" numFmtId="3">
      <sharedItems containsSemiMixedTypes="0" containsString="0" containsNumber="1" containsInteger="1" minValue="370000" maxValue="370000"/>
    </cacheField>
    <cacheField name="Ескерту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d v="2026-09-21T00:00:00"/>
    <x v="0"/>
    <x v="0"/>
    <x v="0"/>
    <n v="3700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Таблица3" cacheId="10" applyNumberFormats="0" applyBorderFormats="0" applyFontFormats="0" applyPatternFormats="0" applyAlignmentFormats="0" applyWidthHeightFormats="1" dataCaption="Значения" grandTotalCaption="Барлығы" updatedVersion="5" minRefreshableVersion="3" itemPrintTitles="1" createdVersion="5" indent="0" outline="1" outlineData="1" multipleFieldFilters="0" chartFormat="1" rowHeaderCaption="Шығыстар">
  <location ref="A32:B33" firstHeaderRow="1" firstDataRow="1" firstDataCol="1" rowPageCount="1" colPageCount="1"/>
  <pivotFields count="6">
    <pivotField numFmtId="14" showAll="0"/>
    <pivotField axis="axisPage" multipleItemSelectionAllowed="1" showAll="0">
      <items count="4">
        <item h="1" x="0"/>
        <item m="1" x="2"/>
        <item h="1" m="1" x="1"/>
        <item t="default"/>
      </items>
    </pivotField>
    <pivotField axis="axisRow" showAll="0" sortType="descending">
      <items count="16">
        <item m="1" x="12"/>
        <item m="1" x="14"/>
        <item m="1" x="13"/>
        <item x="0"/>
        <item m="1" x="11"/>
        <item m="1" x="3"/>
        <item m="1" x="5"/>
        <item m="1" x="9"/>
        <item m="1" x="4"/>
        <item m="1" x="10"/>
        <item m="1" x="6"/>
        <item m="1" x="8"/>
        <item m="1" x="2"/>
        <item m="1" x="7"/>
        <item m="1"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3" showAll="0"/>
    <pivotField showAll="0"/>
  </pivotFields>
  <rowFields count="1">
    <field x="2"/>
  </rowFields>
  <rowItems count="1">
    <i t="grand">
      <x/>
    </i>
  </rowItems>
  <colItems count="1">
    <i/>
  </colItems>
  <pageFields count="1">
    <pageField fld="1" hier="-1"/>
  </pageFields>
  <dataFields count="1">
    <dataField name="Сома, тг" fld="4" baseField="2" baseItem="4" numFmtId="3"/>
  </dataFields>
  <formats count="14">
    <format dxfId="108">
      <pivotArea field="2" type="button" dataOnly="0" labelOnly="1" outline="0" axis="axisRow" fieldPosition="0"/>
    </format>
    <format dxfId="107">
      <pivotArea dataOnly="0" labelOnly="1" outline="0" axis="axisValues" fieldPosition="0"/>
    </format>
    <format dxfId="106">
      <pivotArea field="2" type="button" dataOnly="0" labelOnly="1" outline="0" axis="axisRow" fieldPosition="0"/>
    </format>
    <format dxfId="105">
      <pivotArea dataOnly="0" labelOnly="1" outline="0" axis="axisValues" fieldPosition="0"/>
    </format>
    <format dxfId="104">
      <pivotArea type="all" dataOnly="0" outline="0" fieldPosition="0"/>
    </format>
    <format dxfId="103">
      <pivotArea outline="0" collapsedLevelsAreSubtotals="1" fieldPosition="0"/>
    </format>
    <format dxfId="102">
      <pivotArea field="2" type="button" dataOnly="0" labelOnly="1" outline="0" axis="axisRow" fieldPosition="0"/>
    </format>
    <format dxfId="101">
      <pivotArea dataOnly="0" labelOnly="1" outline="0" axis="axisValues" fieldPosition="0"/>
    </format>
    <format dxfId="100">
      <pivotArea dataOnly="0" labelOnly="1" fieldPosition="0">
        <references count="1">
          <reference field="2" count="6">
            <x v="0"/>
            <x v="1"/>
            <x v="2"/>
            <x v="4"/>
            <x v="5"/>
            <x v="7"/>
          </reference>
        </references>
      </pivotArea>
    </format>
    <format dxfId="99">
      <pivotArea dataOnly="0" labelOnly="1" grandRow="1" outline="0" fieldPosition="0"/>
    </format>
    <format dxfId="98">
      <pivotArea grandRow="1" outline="0" collapsedLevelsAreSubtotals="1" fieldPosition="0"/>
    </format>
    <format dxfId="97">
      <pivotArea dataOnly="0" labelOnly="1" grandRow="1" outline="0" fieldPosition="0"/>
    </format>
    <format dxfId="96">
      <pivotArea grandRow="1" outline="0" collapsedLevelsAreSubtotals="1" fieldPosition="0"/>
    </format>
    <format dxfId="95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Таблица2" cacheId="10" applyNumberFormats="0" applyBorderFormats="0" applyFontFormats="0" applyPatternFormats="0" applyAlignmentFormats="0" applyWidthHeightFormats="1" dataCaption="Значения" grandTotalCaption="Барлығы" updatedVersion="5" minRefreshableVersion="3" itemPrintTitles="1" createdVersion="5" indent="0" outline="1" outlineData="1" multipleFieldFilters="0" chartFormat="2" rowHeaderCaption="Ақша кірісі">
  <location ref="A18:B20" firstHeaderRow="1" firstDataRow="1" firstDataCol="1" rowPageCount="1" colPageCount="1"/>
  <pivotFields count="6">
    <pivotField numFmtId="14" showAll="0"/>
    <pivotField axis="axisPage" multipleItemSelectionAllowed="1" showAll="0">
      <items count="4">
        <item x="0"/>
        <item h="1" m="1" x="2"/>
        <item h="1" m="1" x="1"/>
        <item t="default"/>
      </items>
    </pivotField>
    <pivotField axis="axisRow" showAll="0">
      <items count="16">
        <item m="1" x="12"/>
        <item m="1" x="14"/>
        <item m="1" x="13"/>
        <item x="0"/>
        <item m="1" x="11"/>
        <item m="1" x="3"/>
        <item m="1" x="9"/>
        <item m="1" x="5"/>
        <item m="1" x="4"/>
        <item m="1" x="10"/>
        <item m="1" x="6"/>
        <item m="1" x="8"/>
        <item m="1" x="2"/>
        <item m="1" x="7"/>
        <item m="1" x="1"/>
        <item t="default"/>
      </items>
    </pivotField>
    <pivotField showAll="0"/>
    <pivotField dataField="1" numFmtId="3" showAll="0"/>
    <pivotField showAll="0"/>
  </pivotFields>
  <rowFields count="1">
    <field x="2"/>
  </rowFields>
  <rowItems count="2">
    <i>
      <x v="3"/>
    </i>
    <i t="grand">
      <x/>
    </i>
  </rowItems>
  <colItems count="1">
    <i/>
  </colItems>
  <pageFields count="1">
    <pageField fld="1" hier="-1"/>
  </pageFields>
  <dataFields count="1">
    <dataField name="Сома, тг" fld="4" baseField="2" baseItem="3" numFmtId="3"/>
  </dataFields>
  <formats count="10">
    <format dxfId="118">
      <pivotArea field="2" type="button" dataOnly="0" labelOnly="1" outline="0" axis="axisRow" fieldPosition="0"/>
    </format>
    <format dxfId="117">
      <pivotArea dataOnly="0" labelOnly="1" outline="0" axis="axisValues" fieldPosition="0"/>
    </format>
    <format dxfId="116">
      <pivotArea type="all" dataOnly="0" outline="0" fieldPosition="0"/>
    </format>
    <format dxfId="115">
      <pivotArea outline="0" collapsedLevelsAreSubtotals="1" fieldPosition="0"/>
    </format>
    <format dxfId="114">
      <pivotArea field="2" type="button" dataOnly="0" labelOnly="1" outline="0" axis="axisRow" fieldPosition="0"/>
    </format>
    <format dxfId="113">
      <pivotArea dataOnly="0" labelOnly="1" outline="0" axis="axisValues" fieldPosition="0"/>
    </format>
    <format dxfId="112">
      <pivotArea dataOnly="0" labelOnly="1" fieldPosition="0">
        <references count="1">
          <reference field="2" count="2">
            <x v="3"/>
            <x v="7"/>
          </reference>
        </references>
      </pivotArea>
    </format>
    <format dxfId="111">
      <pivotArea dataOnly="0" labelOnly="1" grandRow="1" outline="0" fieldPosition="0"/>
    </format>
    <format dxfId="110">
      <pivotArea grandRow="1" outline="0" collapsedLevelsAreSubtotals="1" fieldPosition="0"/>
    </format>
    <format dxfId="109">
      <pivotArea dataOnly="0" labelOnly="1" grandRow="1" outline="0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СводнаяТаблица1" cacheId="10" applyNumberFormats="0" applyBorderFormats="0" applyFontFormats="0" applyPatternFormats="0" applyAlignmentFormats="0" applyWidthHeightFormats="1" dataCaption="Значения" updatedVersion="5" minRefreshableVersion="3" rowGrandTotals="0" colGrandTotals="0" itemPrintTitles="1" createdVersion="5" indent="0" outline="1" outlineData="1" multipleFieldFilters="0" chartFormat="1" rowHeaderCaption="Ақша ағыны">
  <location ref="A4:B5" firstHeaderRow="1" firstDataRow="1" firstDataCol="1"/>
  <pivotFields count="6">
    <pivotField numFmtId="14" showAll="0" defaultSubtotal="0"/>
    <pivotField axis="axisRow" showAll="0" defaultSubtotal="0">
      <items count="3">
        <item x="0"/>
        <item m="1" x="2"/>
        <item m="1" x="1"/>
      </items>
    </pivotField>
    <pivotField showAll="0" defaultSubtotal="0"/>
    <pivotField showAll="0" defaultSubtotal="0"/>
    <pivotField dataField="1" numFmtId="3" showAll="0" defaultSubtotal="0"/>
    <pivotField showAll="0" defaultSubtotal="0"/>
  </pivotFields>
  <rowFields count="1">
    <field x="1"/>
  </rowFields>
  <rowItems count="1">
    <i>
      <x/>
    </i>
  </rowItems>
  <colItems count="1">
    <i/>
  </colItems>
  <dataFields count="1">
    <dataField name="Сома, тг" fld="4" baseField="1" baseItem="0" numFmtId="3"/>
  </dataFields>
  <formats count="9">
    <format dxfId="127">
      <pivotArea field="1" type="button" dataOnly="0" labelOnly="1" outline="0" axis="axisRow" fieldPosition="0"/>
    </format>
    <format dxfId="126">
      <pivotArea dataOnly="0" labelOnly="1" outline="0" axis="axisValues" fieldPosition="0"/>
    </format>
    <format dxfId="125">
      <pivotArea field="1" type="button" dataOnly="0" labelOnly="1" outline="0" axis="axisRow" fieldPosition="0"/>
    </format>
    <format dxfId="124">
      <pivotArea dataOnly="0" labelOnly="1" outline="0" axis="axisValues" fieldPosition="0"/>
    </format>
    <format dxfId="123">
      <pivotArea type="all" dataOnly="0" outline="0" fieldPosition="0"/>
    </format>
    <format dxfId="122">
      <pivotArea outline="0" collapsedLevelsAreSubtotals="1" fieldPosition="0"/>
    </format>
    <format dxfId="121">
      <pivotArea field="1" type="button" dataOnly="0" labelOnly="1" outline="0" axis="axisRow" fieldPosition="0"/>
    </format>
    <format dxfId="120">
      <pivotArea dataOnly="0" labelOnly="1" outline="0" axis="axisValues" fieldPosition="0"/>
    </format>
    <format dxfId="119">
      <pivotArea dataOnly="0" labelOnly="1" fieldPosition="0">
        <references count="1">
          <reference field="1" count="0"/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СводнаяТаблица4" cacheId="10" applyNumberFormats="0" applyBorderFormats="0" applyFontFormats="0" applyPatternFormats="0" applyAlignmentFormats="0" applyWidthHeightFormats="1" dataCaption="Значения" grandTotalCaption="Барлығы" updatedVersion="5" minRefreshableVersion="3" itemPrintTitles="1" createdVersion="5" indent="0" outline="1" outlineData="1" multipleFieldFilters="0" chartFormat="1" rowHeaderCaption="Шығыс топтары">
  <location ref="A51:B52" firstHeaderRow="1" firstDataRow="1" firstDataCol="1" rowPageCount="1" colPageCount="1"/>
  <pivotFields count="6">
    <pivotField numFmtId="14" showAll="0"/>
    <pivotField axis="axisPage" multipleItemSelectionAllowed="1" showAll="0">
      <items count="4">
        <item h="1" x="0"/>
        <item m="1" x="2"/>
        <item h="1" m="1" x="1"/>
        <item t="default"/>
      </items>
    </pivotField>
    <pivotField showAll="0"/>
    <pivotField axis="axisRow" showAll="0" sortType="descending">
      <items count="9">
        <item m="1" x="5"/>
        <item m="1" x="3"/>
        <item x="0"/>
        <item m="1" x="2"/>
        <item m="1" x="6"/>
        <item m="1" x="4"/>
        <item m="1" x="7"/>
        <item m="1"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3" showAll="0"/>
    <pivotField showAll="0"/>
  </pivotFields>
  <rowFields count="1">
    <field x="3"/>
  </rowFields>
  <rowItems count="1">
    <i t="grand">
      <x/>
    </i>
  </rowItems>
  <colItems count="1">
    <i/>
  </colItems>
  <pageFields count="1">
    <pageField fld="1" hier="-1"/>
  </pageFields>
  <dataFields count="1">
    <dataField name="Сома, тг" fld="4" baseField="3" baseItem="0" numFmtId="3"/>
  </dataFields>
  <formats count="12">
    <format dxfId="139">
      <pivotArea type="all" dataOnly="0" outline="0" fieldPosition="0"/>
    </format>
    <format dxfId="138">
      <pivotArea outline="0" collapsedLevelsAreSubtotals="1" fieldPosition="0"/>
    </format>
    <format dxfId="137">
      <pivotArea field="3" type="button" dataOnly="0" labelOnly="1" outline="0" axis="axisRow" fieldPosition="0"/>
    </format>
    <format dxfId="136">
      <pivotArea dataOnly="0" labelOnly="1" outline="0" axis="axisValues" fieldPosition="0"/>
    </format>
    <format dxfId="135">
      <pivotArea dataOnly="0" labelOnly="1" fieldPosition="0">
        <references count="1">
          <reference field="3" count="0"/>
        </references>
      </pivotArea>
    </format>
    <format dxfId="134">
      <pivotArea dataOnly="0" labelOnly="1" grandRow="1" outline="0" fieldPosition="0"/>
    </format>
    <format dxfId="133">
      <pivotArea grandRow="1" outline="0" collapsedLevelsAreSubtotals="1" fieldPosition="0"/>
    </format>
    <format dxfId="132">
      <pivotArea dataOnly="0" labelOnly="1" grandRow="1" outline="0" fieldPosition="0"/>
    </format>
    <format dxfId="131">
      <pivotArea field="3" type="button" dataOnly="0" labelOnly="1" outline="0" axis="axisRow" fieldPosition="0"/>
    </format>
    <format dxfId="130">
      <pivotArea dataOnly="0" labelOnly="1" outline="0" axis="axisValues" fieldPosition="0"/>
    </format>
    <format dxfId="129">
      <pivotArea field="3" type="button" dataOnly="0" labelOnly="1" outline="0" axis="axisRow" fieldPosition="0"/>
    </format>
    <format dxfId="128">
      <pivotArea dataOnly="0" labelOnly="1" outline="0" axis="axisValues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6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Данные" displayName="Данные" ref="A1:F2" insertRow="1" totalsRowShown="0" headerRowDxfId="141">
  <autoFilter ref="A1:F2"/>
  <tableColumns count="6">
    <tableColumn id="1" name="Күні"/>
    <tableColumn id="2" name="Операциялар"/>
    <tableColumn id="3" name="Топ"/>
    <tableColumn id="4" name="Аналитикалық топ"/>
    <tableColumn id="5" name="Сома" dataDxfId="140"/>
    <tableColumn id="7" name="Ескерту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ГруппыПриток" displayName="ГруппыПриток" ref="A1:A7" totalsRowShown="0" headerRowDxfId="94">
  <autoFilter ref="A1:A7"/>
  <tableColumns count="1">
    <tableColumn id="2" name="Кірістер топтары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ГруппаОтток" displayName="ГруппаОтток" ref="C1:C13" totalsRowShown="0" headerRowDxfId="93">
  <autoFilter ref="C1:C13"/>
  <tableColumns count="1">
    <tableColumn id="2" name="Шығыстар топтары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АналитикаПриток" displayName="АналитикаПриток" ref="E1:E6" totalsRowShown="0" headerRowDxfId="92">
  <autoFilter ref="E1:E6"/>
  <tableColumns count="1">
    <tableColumn id="2" name="Кірістер аналитикасы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АналитикаОтток" displayName="АналитикаОтток" ref="G1:G6" totalsRowShown="0" headerRowDxfId="91">
  <autoFilter ref="G1:G6"/>
  <tableColumns count="1">
    <tableColumn id="2" name="Шығыстар аналитикасы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Операция" displayName="Операция" ref="I1:I3" totalsRowShown="0" headerRowDxfId="90">
  <autoFilter ref="I1:I3"/>
  <tableColumns count="1">
    <tableColumn id="1" name="Операцияла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3.bin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showGridLines="0" workbookViewId="0">
      <selection activeCell="D10" sqref="D10"/>
    </sheetView>
  </sheetViews>
  <sheetFormatPr defaultRowHeight="15" x14ac:dyDescent="0.25"/>
  <cols>
    <col min="1" max="1" width="25.7109375" style="40" customWidth="1"/>
    <col min="2" max="2" width="41.7109375" style="29" customWidth="1"/>
    <col min="3" max="3" width="26" style="29" bestFit="1" customWidth="1"/>
    <col min="4" max="4" width="34.7109375" style="29" bestFit="1" customWidth="1"/>
    <col min="5" max="5" width="11" style="31" customWidth="1"/>
    <col min="6" max="6" width="24" style="29" customWidth="1"/>
    <col min="7" max="7" width="11.28515625" style="29" customWidth="1"/>
  </cols>
  <sheetData>
    <row r="1" spans="1:7" x14ac:dyDescent="0.25">
      <c r="A1" s="46" t="s">
        <v>95</v>
      </c>
      <c r="B1" s="47" t="s">
        <v>96</v>
      </c>
    </row>
    <row r="2" spans="1:7" x14ac:dyDescent="0.25">
      <c r="A2" s="48" t="s">
        <v>97</v>
      </c>
      <c r="B2" s="49" t="s">
        <v>98</v>
      </c>
    </row>
    <row r="3" spans="1:7" ht="15.75" thickBot="1" x14ac:dyDescent="0.3">
      <c r="A3" s="50" t="s">
        <v>99</v>
      </c>
      <c r="B3" s="51" t="s">
        <v>100</v>
      </c>
    </row>
    <row r="4" spans="1:7" x14ac:dyDescent="0.25">
      <c r="A4" s="52"/>
      <c r="B4" s="53"/>
    </row>
    <row r="5" spans="1:7" ht="18.75" x14ac:dyDescent="0.25">
      <c r="A5" s="54" t="s">
        <v>101</v>
      </c>
    </row>
    <row r="6" spans="1:7" ht="222" customHeight="1" x14ac:dyDescent="0.25">
      <c r="A6" s="67" t="s">
        <v>102</v>
      </c>
      <c r="B6" s="68"/>
      <c r="C6" s="68"/>
      <c r="D6" s="68"/>
      <c r="E6" s="68"/>
      <c r="F6" s="68"/>
      <c r="G6" s="68"/>
    </row>
    <row r="7" spans="1:7" ht="19.899999999999999" customHeight="1" x14ac:dyDescent="0.25">
      <c r="A7" s="41" t="s">
        <v>82</v>
      </c>
      <c r="B7" s="19"/>
      <c r="C7" s="19"/>
      <c r="D7" s="19"/>
      <c r="E7" s="19"/>
      <c r="F7" s="19"/>
      <c r="G7" s="19"/>
    </row>
    <row r="8" spans="1:7" s="6" customFormat="1" x14ac:dyDescent="0.25">
      <c r="A8" s="36" t="s">
        <v>40</v>
      </c>
      <c r="B8" s="20" t="s">
        <v>41</v>
      </c>
      <c r="C8" s="23"/>
      <c r="D8" s="23"/>
      <c r="E8" s="24"/>
      <c r="F8" s="23"/>
      <c r="G8" s="25"/>
    </row>
    <row r="9" spans="1:7" x14ac:dyDescent="0.25">
      <c r="A9" s="37" t="s">
        <v>46</v>
      </c>
      <c r="B9" s="26" t="s">
        <v>42</v>
      </c>
      <c r="C9" s="27"/>
      <c r="D9" s="27"/>
      <c r="E9" s="28"/>
      <c r="F9" s="27"/>
    </row>
    <row r="10" spans="1:7" ht="24" x14ac:dyDescent="0.25">
      <c r="A10" s="37" t="s">
        <v>47</v>
      </c>
      <c r="B10" s="26" t="s">
        <v>43</v>
      </c>
      <c r="C10" s="27"/>
      <c r="D10" s="27"/>
      <c r="E10" s="28"/>
      <c r="F10" s="27"/>
    </row>
    <row r="11" spans="1:7" ht="24" x14ac:dyDescent="0.25">
      <c r="A11" s="37" t="s">
        <v>48</v>
      </c>
      <c r="B11" s="26" t="s">
        <v>44</v>
      </c>
      <c r="C11" s="27"/>
      <c r="D11" s="27"/>
      <c r="E11" s="28"/>
      <c r="F11" s="27"/>
    </row>
    <row r="12" spans="1:7" x14ac:dyDescent="0.25">
      <c r="A12" s="37" t="s">
        <v>49</v>
      </c>
      <c r="B12" s="26" t="s">
        <v>45</v>
      </c>
      <c r="C12" s="27"/>
      <c r="D12" s="27"/>
      <c r="E12" s="28"/>
      <c r="F12" s="27"/>
    </row>
    <row r="13" spans="1:7" ht="28.15" customHeight="1" x14ac:dyDescent="0.25">
      <c r="A13" s="56" t="s">
        <v>103</v>
      </c>
      <c r="B13" s="55"/>
      <c r="C13" s="27"/>
      <c r="D13" s="27"/>
      <c r="E13" s="28"/>
      <c r="F13" s="27"/>
    </row>
    <row r="14" spans="1:7" ht="95.45" customHeight="1" x14ac:dyDescent="0.25">
      <c r="A14" s="67" t="s">
        <v>104</v>
      </c>
      <c r="B14" s="68"/>
      <c r="C14" s="68"/>
      <c r="D14" s="68"/>
      <c r="E14" s="68"/>
      <c r="F14" s="68"/>
      <c r="G14" s="68"/>
    </row>
    <row r="15" spans="1:7" ht="157.9" customHeight="1" x14ac:dyDescent="0.25">
      <c r="A15" s="67" t="s">
        <v>80</v>
      </c>
      <c r="B15" s="68"/>
      <c r="C15" s="68"/>
      <c r="D15" s="68"/>
      <c r="E15" s="68"/>
      <c r="F15" s="68"/>
      <c r="G15" s="68"/>
    </row>
    <row r="16" spans="1:7" ht="42.6" customHeight="1" x14ac:dyDescent="0.25">
      <c r="A16" s="67" t="s">
        <v>86</v>
      </c>
      <c r="B16" s="68"/>
      <c r="C16" s="68"/>
      <c r="D16" s="68"/>
      <c r="E16" s="68"/>
      <c r="F16" s="68"/>
      <c r="G16" s="68"/>
    </row>
    <row r="17" spans="1:7" s="6" customFormat="1" x14ac:dyDescent="0.25">
      <c r="A17" s="36" t="s">
        <v>50</v>
      </c>
      <c r="B17" s="20" t="s">
        <v>51</v>
      </c>
      <c r="C17" s="25"/>
      <c r="D17" s="25"/>
      <c r="E17" s="30"/>
      <c r="F17" s="25"/>
      <c r="G17" s="25"/>
    </row>
    <row r="18" spans="1:7" ht="24" x14ac:dyDescent="0.25">
      <c r="A18" s="42" t="s">
        <v>12</v>
      </c>
      <c r="B18" s="26" t="s">
        <v>87</v>
      </c>
    </row>
    <row r="19" spans="1:7" x14ac:dyDescent="0.25">
      <c r="A19" s="42" t="s">
        <v>13</v>
      </c>
      <c r="B19" s="26" t="s">
        <v>88</v>
      </c>
    </row>
    <row r="20" spans="1:7" x14ac:dyDescent="0.25">
      <c r="A20" s="37" t="s">
        <v>26</v>
      </c>
      <c r="B20" s="26" t="s">
        <v>52</v>
      </c>
    </row>
    <row r="21" spans="1:7" ht="30.6" customHeight="1" x14ac:dyDescent="0.25">
      <c r="A21" s="37" t="s">
        <v>30</v>
      </c>
      <c r="B21" s="26" t="s">
        <v>53</v>
      </c>
    </row>
    <row r="22" spans="1:7" ht="117" customHeight="1" x14ac:dyDescent="0.25">
      <c r="A22" s="67" t="s">
        <v>81</v>
      </c>
      <c r="B22" s="68"/>
      <c r="C22" s="68"/>
      <c r="D22" s="68"/>
      <c r="E22" s="68"/>
      <c r="F22" s="68"/>
      <c r="G22" s="68"/>
    </row>
    <row r="23" spans="1:7" ht="277.14999999999998" customHeight="1" x14ac:dyDescent="0.25">
      <c r="A23" s="67" t="s">
        <v>85</v>
      </c>
      <c r="B23" s="68"/>
      <c r="C23" s="68"/>
      <c r="D23" s="68"/>
      <c r="E23" s="68"/>
      <c r="F23" s="68"/>
      <c r="G23" s="68"/>
    </row>
    <row r="24" spans="1:7" ht="81.599999999999994" customHeight="1" x14ac:dyDescent="0.25">
      <c r="A24" s="63" t="s">
        <v>105</v>
      </c>
      <c r="B24" s="63"/>
      <c r="C24" s="63"/>
      <c r="D24" s="63"/>
      <c r="E24" s="63"/>
      <c r="F24" s="63"/>
      <c r="G24" s="63"/>
    </row>
    <row r="25" spans="1:7" ht="111" customHeight="1" x14ac:dyDescent="0.25">
      <c r="A25" s="63" t="s">
        <v>54</v>
      </c>
      <c r="B25" s="63"/>
      <c r="C25" s="63"/>
      <c r="D25" s="63"/>
      <c r="E25" s="63"/>
      <c r="F25" s="63"/>
      <c r="G25" s="63"/>
    </row>
    <row r="26" spans="1:7" ht="34.9" customHeight="1" x14ac:dyDescent="0.25">
      <c r="A26" s="64" t="s">
        <v>89</v>
      </c>
      <c r="B26" s="63"/>
      <c r="C26" s="63"/>
      <c r="D26" s="63"/>
      <c r="E26" s="63"/>
      <c r="F26" s="63"/>
      <c r="G26" s="63"/>
    </row>
    <row r="27" spans="1:7" s="22" customFormat="1" x14ac:dyDescent="0.25">
      <c r="A27" s="38" t="s">
        <v>0</v>
      </c>
      <c r="B27" s="32" t="s">
        <v>1</v>
      </c>
      <c r="C27" s="32" t="s">
        <v>2</v>
      </c>
      <c r="D27" s="32" t="s">
        <v>3</v>
      </c>
      <c r="E27" s="33" t="s">
        <v>4</v>
      </c>
      <c r="F27" s="32" t="s">
        <v>5</v>
      </c>
      <c r="G27" s="2"/>
    </row>
    <row r="28" spans="1:7" x14ac:dyDescent="0.25">
      <c r="A28" s="39">
        <v>45662</v>
      </c>
      <c r="B28" s="34" t="s">
        <v>34</v>
      </c>
      <c r="C28" s="34" t="s">
        <v>6</v>
      </c>
      <c r="D28" s="34" t="s">
        <v>27</v>
      </c>
      <c r="E28" s="35">
        <v>85000</v>
      </c>
      <c r="F28" s="34" t="s">
        <v>56</v>
      </c>
    </row>
    <row r="29" spans="1:7" x14ac:dyDescent="0.25">
      <c r="A29" s="39">
        <v>45663</v>
      </c>
      <c r="B29" s="34" t="s">
        <v>35</v>
      </c>
      <c r="C29" s="34" t="s">
        <v>15</v>
      </c>
      <c r="D29" s="34" t="s">
        <v>31</v>
      </c>
      <c r="E29" s="35">
        <v>5200</v>
      </c>
      <c r="F29" s="34"/>
    </row>
    <row r="30" spans="1:7" x14ac:dyDescent="0.25">
      <c r="A30" s="39">
        <v>45664</v>
      </c>
      <c r="B30" s="34" t="s">
        <v>35</v>
      </c>
      <c r="C30" s="34" t="s">
        <v>16</v>
      </c>
      <c r="D30" s="34" t="s">
        <v>31</v>
      </c>
      <c r="E30" s="35">
        <v>1500</v>
      </c>
      <c r="F30" s="34" t="s">
        <v>55</v>
      </c>
    </row>
    <row r="31" spans="1:7" x14ac:dyDescent="0.25">
      <c r="A31" s="39">
        <v>45667</v>
      </c>
      <c r="B31" s="34" t="s">
        <v>35</v>
      </c>
      <c r="C31" s="34" t="s">
        <v>21</v>
      </c>
      <c r="D31" s="34" t="s">
        <v>31</v>
      </c>
      <c r="E31" s="35">
        <v>15000</v>
      </c>
      <c r="F31" s="34" t="s">
        <v>90</v>
      </c>
    </row>
    <row r="32" spans="1:7" x14ac:dyDescent="0.25">
      <c r="A32" s="39">
        <v>45669</v>
      </c>
      <c r="B32" s="34" t="s">
        <v>35</v>
      </c>
      <c r="C32" s="34" t="s">
        <v>25</v>
      </c>
      <c r="D32" s="34" t="s">
        <v>33</v>
      </c>
      <c r="E32" s="35">
        <v>40000</v>
      </c>
      <c r="F32" s="34" t="s">
        <v>57</v>
      </c>
    </row>
    <row r="33" spans="1:7" ht="24.6" customHeight="1" x14ac:dyDescent="0.25">
      <c r="A33" s="65" t="s">
        <v>58</v>
      </c>
      <c r="B33" s="65"/>
      <c r="C33" s="65"/>
      <c r="D33" s="65"/>
      <c r="E33" s="65"/>
      <c r="F33" s="65"/>
      <c r="G33" s="65"/>
    </row>
    <row r="34" spans="1:7" ht="247.15" customHeight="1" x14ac:dyDescent="0.25">
      <c r="A34" s="64" t="s">
        <v>106</v>
      </c>
      <c r="B34" s="63"/>
      <c r="C34" s="63"/>
      <c r="D34" s="63"/>
      <c r="E34" s="63"/>
      <c r="F34" s="63"/>
      <c r="G34" s="63"/>
    </row>
    <row r="35" spans="1:7" s="22" customFormat="1" x14ac:dyDescent="0.25">
      <c r="A35" s="38" t="s">
        <v>59</v>
      </c>
      <c r="B35" s="32" t="s">
        <v>60</v>
      </c>
      <c r="C35" s="2"/>
      <c r="D35" s="2"/>
      <c r="E35" s="4"/>
      <c r="F35" s="2"/>
      <c r="G35" s="2"/>
    </row>
    <row r="36" spans="1:7" x14ac:dyDescent="0.25">
      <c r="A36" s="43" t="s">
        <v>37</v>
      </c>
      <c r="B36" s="34" t="s">
        <v>64</v>
      </c>
    </row>
    <row r="37" spans="1:7" x14ac:dyDescent="0.25">
      <c r="A37" s="43" t="s">
        <v>65</v>
      </c>
      <c r="B37" s="34" t="s">
        <v>61</v>
      </c>
    </row>
    <row r="38" spans="1:7" x14ac:dyDescent="0.25">
      <c r="A38" s="43" t="s">
        <v>66</v>
      </c>
      <c r="B38" s="34" t="s">
        <v>62</v>
      </c>
    </row>
    <row r="39" spans="1:7" x14ac:dyDescent="0.25">
      <c r="A39" s="43" t="s">
        <v>67</v>
      </c>
      <c r="B39" s="34" t="s">
        <v>63</v>
      </c>
    </row>
    <row r="40" spans="1:7" ht="31.9" customHeight="1" x14ac:dyDescent="0.25">
      <c r="A40" s="66" t="s">
        <v>68</v>
      </c>
      <c r="B40" s="66"/>
      <c r="C40" s="66"/>
      <c r="D40" s="66"/>
      <c r="E40" s="66"/>
      <c r="F40" s="66"/>
      <c r="G40" s="66"/>
    </row>
    <row r="41" spans="1:7" ht="147.6" customHeight="1" x14ac:dyDescent="0.25">
      <c r="A41" s="57" t="s">
        <v>91</v>
      </c>
      <c r="B41" s="58"/>
      <c r="C41" s="58"/>
      <c r="D41" s="58"/>
      <c r="E41" s="58"/>
      <c r="F41" s="58"/>
      <c r="G41" s="58"/>
    </row>
    <row r="42" spans="1:7" ht="228" customHeight="1" x14ac:dyDescent="0.25">
      <c r="A42" s="57" t="s">
        <v>107</v>
      </c>
      <c r="B42" s="58"/>
      <c r="C42" s="58"/>
      <c r="D42" s="58"/>
      <c r="E42" s="58"/>
      <c r="F42" s="58"/>
      <c r="G42" s="58"/>
    </row>
    <row r="43" spans="1:7" ht="22.15" customHeight="1" x14ac:dyDescent="0.25">
      <c r="A43" s="44" t="s">
        <v>92</v>
      </c>
      <c r="B43" s="40"/>
      <c r="C43" s="40"/>
      <c r="D43" s="40"/>
      <c r="E43" s="40"/>
      <c r="F43" s="40"/>
      <c r="G43" s="40"/>
    </row>
    <row r="44" spans="1:7" s="6" customFormat="1" x14ac:dyDescent="0.25">
      <c r="A44" s="45" t="s">
        <v>69</v>
      </c>
      <c r="B44" s="20" t="s">
        <v>70</v>
      </c>
      <c r="C44" s="25"/>
      <c r="D44" s="25"/>
      <c r="E44" s="30"/>
      <c r="F44" s="25"/>
      <c r="G44" s="25"/>
    </row>
    <row r="45" spans="1:7" ht="24" x14ac:dyDescent="0.25">
      <c r="A45" s="42" t="s">
        <v>83</v>
      </c>
      <c r="B45" s="21" t="s">
        <v>71</v>
      </c>
    </row>
    <row r="46" spans="1:7" x14ac:dyDescent="0.25">
      <c r="A46" s="42" t="s">
        <v>72</v>
      </c>
      <c r="B46" s="21" t="s">
        <v>73</v>
      </c>
    </row>
    <row r="47" spans="1:7" ht="24" x14ac:dyDescent="0.25">
      <c r="A47" s="42" t="s">
        <v>74</v>
      </c>
      <c r="B47" s="21" t="s">
        <v>75</v>
      </c>
    </row>
    <row r="48" spans="1:7" ht="24" x14ac:dyDescent="0.25">
      <c r="A48" s="42" t="s">
        <v>108</v>
      </c>
      <c r="B48" s="21" t="s">
        <v>76</v>
      </c>
    </row>
    <row r="49" spans="1:7" ht="24" x14ac:dyDescent="0.25">
      <c r="A49" s="42" t="s">
        <v>77</v>
      </c>
      <c r="B49" s="21" t="s">
        <v>78</v>
      </c>
    </row>
    <row r="50" spans="1:7" x14ac:dyDescent="0.25">
      <c r="A50" s="42" t="s">
        <v>84</v>
      </c>
      <c r="B50" s="21" t="s">
        <v>79</v>
      </c>
    </row>
    <row r="51" spans="1:7" ht="99" customHeight="1" x14ac:dyDescent="0.25">
      <c r="A51" s="59" t="s">
        <v>93</v>
      </c>
      <c r="B51" s="60"/>
      <c r="C51" s="60"/>
      <c r="D51" s="60"/>
      <c r="E51" s="60"/>
      <c r="F51" s="60"/>
      <c r="G51" s="60"/>
    </row>
    <row r="52" spans="1:7" ht="61.15" customHeight="1" x14ac:dyDescent="0.25">
      <c r="A52" s="61" t="s">
        <v>94</v>
      </c>
      <c r="B52" s="62"/>
      <c r="C52" s="62"/>
      <c r="D52" s="62"/>
      <c r="E52" s="62"/>
      <c r="F52" s="62"/>
      <c r="G52" s="62"/>
    </row>
  </sheetData>
  <mergeCells count="16">
    <mergeCell ref="A16:G16"/>
    <mergeCell ref="A22:G22"/>
    <mergeCell ref="A23:G23"/>
    <mergeCell ref="A24:G24"/>
    <mergeCell ref="A6:G6"/>
    <mergeCell ref="A14:G14"/>
    <mergeCell ref="A15:G15"/>
    <mergeCell ref="A41:G41"/>
    <mergeCell ref="A42:G42"/>
    <mergeCell ref="A51:G51"/>
    <mergeCell ref="A52:G52"/>
    <mergeCell ref="A25:G25"/>
    <mergeCell ref="A26:G26"/>
    <mergeCell ref="A33:G33"/>
    <mergeCell ref="A34:G34"/>
    <mergeCell ref="A40:G4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D2" sqref="D2"/>
    </sheetView>
  </sheetViews>
  <sheetFormatPr defaultRowHeight="15" x14ac:dyDescent="0.25"/>
  <cols>
    <col min="1" max="1" width="13.28515625" customWidth="1"/>
    <col min="2" max="2" width="12.28515625" customWidth="1"/>
    <col min="3" max="3" width="28.7109375" customWidth="1"/>
    <col min="4" max="4" width="34.7109375" bestFit="1" customWidth="1"/>
    <col min="5" max="5" width="18" style="5" customWidth="1"/>
    <col min="6" max="6" width="38.2851562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2" t="s">
        <v>5</v>
      </c>
    </row>
    <row r="2" spans="1:6" x14ac:dyDescent="0.25">
      <c r="A2" s="3"/>
    </row>
  </sheetData>
  <dataValidations count="2">
    <dataValidation type="list" allowBlank="1" showInputMessage="1" showErrorMessage="1" sqref="C2">
      <formula1>IF($B2="Кіріс",INDIRECT("ГруппыПриток"),INDIRECT("ГруппаОтток"))</formula1>
    </dataValidation>
    <dataValidation type="list" allowBlank="1" showInputMessage="1" showErrorMessage="1" sqref="D2">
      <formula1>IF($B2="Кіріс",INDIRECT("АналитикаПриток"),INDIRECT("АналитикаОтток"))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Anyqtamalyqtar!$I$2:$I$3</xm:f>
          </x14:formula1>
          <xm:sqref>B2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52"/>
  <sheetViews>
    <sheetView topLeftCell="A13" workbookViewId="0">
      <selection activeCell="Q33" sqref="Q33"/>
    </sheetView>
  </sheetViews>
  <sheetFormatPr defaultRowHeight="15" x14ac:dyDescent="0.25"/>
  <cols>
    <col min="1" max="1" width="36.7109375" customWidth="1"/>
    <col min="2" max="2" width="17.42578125" customWidth="1"/>
    <col min="3" max="3" width="6.28515625" customWidth="1"/>
    <col min="13" max="13" width="16.7109375" style="7" customWidth="1"/>
    <col min="14" max="14" width="15.85546875" style="7" customWidth="1"/>
  </cols>
  <sheetData>
    <row r="2" spans="1:14" ht="22.9" customHeight="1" x14ac:dyDescent="0.25"/>
    <row r="3" spans="1:14" x14ac:dyDescent="0.25">
      <c r="M3" s="7" t="str">
        <f>A4</f>
        <v>Ақша ағыны</v>
      </c>
      <c r="N3" s="7" t="str">
        <f>B4</f>
        <v>Сома, тг</v>
      </c>
    </row>
    <row r="4" spans="1:14" s="1" customFormat="1" x14ac:dyDescent="0.25">
      <c r="A4" s="8" t="s">
        <v>37</v>
      </c>
      <c r="B4" s="9" t="s">
        <v>38</v>
      </c>
      <c r="M4" s="7" t="str">
        <f t="shared" ref="M4:M6" si="0">A5</f>
        <v>Кіріс</v>
      </c>
      <c r="N4" s="7">
        <f t="shared" ref="N4:N6" si="1">B5</f>
        <v>370000</v>
      </c>
    </row>
    <row r="5" spans="1:14" x14ac:dyDescent="0.25">
      <c r="A5" s="10" t="s">
        <v>34</v>
      </c>
      <c r="B5" s="11">
        <v>370000</v>
      </c>
      <c r="M5" s="7">
        <f t="shared" si="0"/>
        <v>0</v>
      </c>
      <c r="N5" s="7">
        <f t="shared" si="1"/>
        <v>0</v>
      </c>
    </row>
    <row r="6" spans="1:14" x14ac:dyDescent="0.25">
      <c r="M6" s="7" t="str">
        <f t="shared" si="0"/>
        <v>Қалған ақша</v>
      </c>
      <c r="N6" s="7" t="e">
        <f t="shared" si="1"/>
        <v>#REF!</v>
      </c>
    </row>
    <row r="7" spans="1:14" x14ac:dyDescent="0.25">
      <c r="A7" s="12" t="s">
        <v>36</v>
      </c>
      <c r="B7" s="11" t="e">
        <f>GETPIVOTDATA("Сома",$A$4,"Операциялар","Кіріс")-GETPIVOTDATA("Сома",$A$4,"Операциялар","Шығыс")</f>
        <v>#REF!</v>
      </c>
    </row>
    <row r="13" spans="1:14" ht="9.6" customHeight="1" x14ac:dyDescent="0.25"/>
    <row r="14" spans="1:14" ht="12" customHeight="1" x14ac:dyDescent="0.25"/>
    <row r="15" spans="1:14" ht="25.9" customHeight="1" x14ac:dyDescent="0.25"/>
    <row r="16" spans="1:14" x14ac:dyDescent="0.25">
      <c r="A16" s="16" t="s">
        <v>1</v>
      </c>
      <c r="B16" s="12" t="s">
        <v>34</v>
      </c>
    </row>
    <row r="17" spans="1:14" ht="3.6" customHeight="1" x14ac:dyDescent="0.25"/>
    <row r="18" spans="1:14" x14ac:dyDescent="0.25">
      <c r="A18" s="14" t="s">
        <v>65</v>
      </c>
      <c r="B18" s="15" t="s">
        <v>38</v>
      </c>
    </row>
    <row r="19" spans="1:14" x14ac:dyDescent="0.25">
      <c r="A19" s="10" t="s">
        <v>6</v>
      </c>
      <c r="B19" s="11">
        <v>370000</v>
      </c>
    </row>
    <row r="20" spans="1:14" x14ac:dyDescent="0.25">
      <c r="A20" s="17" t="s">
        <v>39</v>
      </c>
      <c r="B20" s="18">
        <v>370000</v>
      </c>
    </row>
    <row r="29" spans="1:14" ht="24.6" customHeight="1" x14ac:dyDescent="0.25"/>
    <row r="30" spans="1:14" x14ac:dyDescent="0.25">
      <c r="A30" s="16" t="s">
        <v>1</v>
      </c>
      <c r="B30" s="12" t="s">
        <v>109</v>
      </c>
    </row>
    <row r="31" spans="1:14" ht="6.6" customHeight="1" x14ac:dyDescent="0.25"/>
    <row r="32" spans="1:14" s="1" customFormat="1" x14ac:dyDescent="0.25">
      <c r="A32" s="8" t="s">
        <v>66</v>
      </c>
      <c r="B32" s="9" t="s">
        <v>38</v>
      </c>
      <c r="M32" s="13"/>
      <c r="N32" s="13"/>
    </row>
    <row r="33" spans="1:2" x14ac:dyDescent="0.25">
      <c r="A33" s="17" t="s">
        <v>39</v>
      </c>
      <c r="B33" s="18"/>
    </row>
    <row r="49" spans="1:14" x14ac:dyDescent="0.25">
      <c r="A49" s="16" t="s">
        <v>1</v>
      </c>
      <c r="B49" s="12" t="s">
        <v>109</v>
      </c>
    </row>
    <row r="50" spans="1:14" ht="7.9" customHeight="1" x14ac:dyDescent="0.25"/>
    <row r="51" spans="1:14" s="1" customFormat="1" x14ac:dyDescent="0.25">
      <c r="A51" s="8" t="s">
        <v>67</v>
      </c>
      <c r="B51" s="9" t="s">
        <v>38</v>
      </c>
      <c r="M51" s="13"/>
      <c r="N51" s="13"/>
    </row>
    <row r="52" spans="1:14" x14ac:dyDescent="0.25">
      <c r="A52" s="17" t="s">
        <v>39</v>
      </c>
      <c r="B52" s="18"/>
    </row>
  </sheetData>
  <pageMargins left="0.7" right="0.7" top="0.75" bottom="0.75" header="0.3" footer="0.3"/>
  <pageSetup paperSize="9" orientation="portrait" r:id="rId5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/>
  </sheetViews>
  <sheetFormatPr defaultRowHeight="15" x14ac:dyDescent="0.25"/>
  <cols>
    <col min="1" max="1" width="26.5703125" bestFit="1" customWidth="1"/>
    <col min="2" max="2" width="2" customWidth="1"/>
    <col min="3" max="3" width="28.85546875" bestFit="1" customWidth="1"/>
    <col min="4" max="4" width="2.28515625" customWidth="1"/>
    <col min="5" max="5" width="26.5703125" bestFit="1" customWidth="1"/>
    <col min="6" max="6" width="1.7109375" customWidth="1"/>
    <col min="7" max="7" width="34.7109375" bestFit="1" customWidth="1"/>
    <col min="8" max="8" width="2.140625" customWidth="1"/>
    <col min="9" max="9" width="12.85546875" customWidth="1"/>
    <col min="10" max="10" width="1.85546875" customWidth="1"/>
  </cols>
  <sheetData>
    <row r="1" spans="1:9" s="2" customFormat="1" x14ac:dyDescent="0.25">
      <c r="A1" s="2" t="s">
        <v>12</v>
      </c>
      <c r="C1" s="2" t="s">
        <v>13</v>
      </c>
      <c r="E1" s="1" t="s">
        <v>26</v>
      </c>
      <c r="G1" s="2" t="s">
        <v>30</v>
      </c>
      <c r="I1" s="2" t="s">
        <v>1</v>
      </c>
    </row>
    <row r="2" spans="1:9" x14ac:dyDescent="0.25">
      <c r="A2" t="s">
        <v>6</v>
      </c>
      <c r="C2" t="s">
        <v>14</v>
      </c>
      <c r="E2" t="s">
        <v>27</v>
      </c>
      <c r="G2" t="s">
        <v>31</v>
      </c>
      <c r="I2" t="s">
        <v>34</v>
      </c>
    </row>
    <row r="3" spans="1:9" x14ac:dyDescent="0.25">
      <c r="A3" t="s">
        <v>7</v>
      </c>
      <c r="C3" t="s">
        <v>15</v>
      </c>
      <c r="E3" t="s">
        <v>28</v>
      </c>
      <c r="G3" t="s">
        <v>17</v>
      </c>
      <c r="I3" t="s">
        <v>35</v>
      </c>
    </row>
    <row r="4" spans="1:9" x14ac:dyDescent="0.25">
      <c r="A4" t="s">
        <v>8</v>
      </c>
      <c r="C4" t="s">
        <v>16</v>
      </c>
      <c r="E4" t="s">
        <v>20</v>
      </c>
      <c r="G4" t="s">
        <v>20</v>
      </c>
    </row>
    <row r="5" spans="1:9" x14ac:dyDescent="0.25">
      <c r="A5" t="s">
        <v>9</v>
      </c>
      <c r="C5" t="s">
        <v>17</v>
      </c>
      <c r="E5" t="s">
        <v>10</v>
      </c>
      <c r="G5" t="s">
        <v>32</v>
      </c>
    </row>
    <row r="6" spans="1:9" x14ac:dyDescent="0.25">
      <c r="A6" t="s">
        <v>10</v>
      </c>
      <c r="C6" t="s">
        <v>18</v>
      </c>
      <c r="E6" t="s">
        <v>29</v>
      </c>
      <c r="G6" t="s">
        <v>33</v>
      </c>
    </row>
    <row r="7" spans="1:9" x14ac:dyDescent="0.25">
      <c r="A7" t="s">
        <v>11</v>
      </c>
      <c r="C7" t="s">
        <v>19</v>
      </c>
    </row>
    <row r="8" spans="1:9" x14ac:dyDescent="0.25">
      <c r="C8" t="s">
        <v>20</v>
      </c>
    </row>
    <row r="9" spans="1:9" x14ac:dyDescent="0.25">
      <c r="C9" t="s">
        <v>21</v>
      </c>
    </row>
    <row r="10" spans="1:9" x14ac:dyDescent="0.25">
      <c r="C10" t="s">
        <v>22</v>
      </c>
    </row>
    <row r="11" spans="1:9" x14ac:dyDescent="0.25">
      <c r="C11" t="s">
        <v>23</v>
      </c>
    </row>
    <row r="12" spans="1:9" x14ac:dyDescent="0.25">
      <c r="C12" t="s">
        <v>24</v>
      </c>
    </row>
    <row r="13" spans="1:9" x14ac:dyDescent="0.25">
      <c r="C13" t="s">
        <v>25</v>
      </c>
    </row>
  </sheetData>
  <pageMargins left="0.7" right="0.7" top="0.75" bottom="0.75" header="0.3" footer="0.3"/>
  <pageSetup paperSize="9" orientation="portrait"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Nusqaulyq</vt:lpstr>
      <vt:lpstr>Derek</vt:lpstr>
      <vt:lpstr>Esep</vt:lpstr>
      <vt:lpstr>Anyqtamalyqtar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Сакен</cp:lastModifiedBy>
  <dcterms:created xsi:type="dcterms:W3CDTF">2026-09-18T18:09:28Z</dcterms:created>
  <dcterms:modified xsi:type="dcterms:W3CDTF">2026-09-21T07:13:54Z</dcterms:modified>
</cp:coreProperties>
</file>