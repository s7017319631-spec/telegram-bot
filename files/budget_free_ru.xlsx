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1"/>
  </bookViews>
  <sheets>
    <sheet name="Данные" sheetId="1" r:id="rId1"/>
    <sheet name="Список" sheetId="2" r:id="rId2"/>
  </sheets>
  <calcPr calcId="152511"/>
</workbook>
</file>

<file path=xl/calcChain.xml><?xml version="1.0" encoding="utf-8"?>
<calcChain xmlns="http://schemas.openxmlformats.org/spreadsheetml/2006/main">
  <c r="F16" i="1" l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<sst xmlns="http://schemas.openxmlformats.org/spreadsheetml/2006/main" count="385" uniqueCount="92">
  <si>
    <t>Дата</t>
  </si>
  <si>
    <t>Операция</t>
  </si>
  <si>
    <t>Группа</t>
  </si>
  <si>
    <t>Статья</t>
  </si>
  <si>
    <t>Сумма</t>
  </si>
  <si>
    <t>Примечание</t>
  </si>
  <si>
    <t>Группа аналитическая</t>
  </si>
  <si>
    <t>Аналитические группы</t>
  </si>
  <si>
    <t>Продукты питания и напитки</t>
  </si>
  <si>
    <t>Еда</t>
  </si>
  <si>
    <t>Базовые расходы</t>
  </si>
  <si>
    <t>Вода, напитки</t>
  </si>
  <si>
    <t>Жильё и коммунальные услуги</t>
  </si>
  <si>
    <t>Аренда/ипотека</t>
  </si>
  <si>
    <t>Коммунальные платежи</t>
  </si>
  <si>
    <t>Домашнее хозяйство и быт</t>
  </si>
  <si>
    <t>Мебель, техника</t>
  </si>
  <si>
    <t>Мелкий ремонт</t>
  </si>
  <si>
    <t>Качественные расходы</t>
  </si>
  <si>
    <t>Одежда и обувь</t>
  </si>
  <si>
    <t>Покупка и ремонт одежды</t>
  </si>
  <si>
    <t>Покупка и ремонт обуви</t>
  </si>
  <si>
    <t>Покупка и ремонт аксессуаров</t>
  </si>
  <si>
    <t>Транспорт</t>
  </si>
  <si>
    <t>Топливо</t>
  </si>
  <si>
    <t>Обслуживание</t>
  </si>
  <si>
    <t>Страховка</t>
  </si>
  <si>
    <t>Проезд</t>
  </si>
  <si>
    <t>Парковка</t>
  </si>
  <si>
    <t>Здравоохранение</t>
  </si>
  <si>
    <t>Лекарства</t>
  </si>
  <si>
    <t>Медицинские услуги</t>
  </si>
  <si>
    <t>Образование</t>
  </si>
  <si>
    <t>Школа</t>
  </si>
  <si>
    <t>Курсы</t>
  </si>
  <si>
    <t>Учебники</t>
  </si>
  <si>
    <t>Репетиторы</t>
  </si>
  <si>
    <t>Связь и интернет</t>
  </si>
  <si>
    <t>Телефон</t>
  </si>
  <si>
    <t>Мобильная связь</t>
  </si>
  <si>
    <t>Интернет</t>
  </si>
  <si>
    <t>Подписки</t>
  </si>
  <si>
    <t>Культура, отдых и спорт</t>
  </si>
  <si>
    <t>Кино, музеи</t>
  </si>
  <si>
    <t>Фитнес</t>
  </si>
  <si>
    <t>Путешествия</t>
  </si>
  <si>
    <t>Книги</t>
  </si>
  <si>
    <t>Хобби</t>
  </si>
  <si>
    <t>Финансовые обязательства</t>
  </si>
  <si>
    <t>Кредиты</t>
  </si>
  <si>
    <t>Ипотека</t>
  </si>
  <si>
    <t>Проценты</t>
  </si>
  <si>
    <t>Штрафы</t>
  </si>
  <si>
    <t>Прочие и дискреционные</t>
  </si>
  <si>
    <t>Налоги</t>
  </si>
  <si>
    <t>Страховые взносы</t>
  </si>
  <si>
    <t>Помощь и пожертвования</t>
  </si>
  <si>
    <t>Родственникам</t>
  </si>
  <si>
    <t>Благотворительность</t>
  </si>
  <si>
    <t>Сбережения и инвестиции</t>
  </si>
  <si>
    <t>Вклады</t>
  </si>
  <si>
    <t>Покупка валюты</t>
  </si>
  <si>
    <t>Покупка акции</t>
  </si>
  <si>
    <t>Пенсии</t>
  </si>
  <si>
    <t>Изьятие из депозита</t>
  </si>
  <si>
    <t>Сбережения</t>
  </si>
  <si>
    <t>Проценты на депозит</t>
  </si>
  <si>
    <t>Проценты прочие</t>
  </si>
  <si>
    <t>Потребительский кредит</t>
  </si>
  <si>
    <t>Заемные средства</t>
  </si>
  <si>
    <t>Прочий кредит</t>
  </si>
  <si>
    <t>Поступление безвозмездное</t>
  </si>
  <si>
    <t>Подарки</t>
  </si>
  <si>
    <t>Безвозмездные поступления</t>
  </si>
  <si>
    <t>Выигрыш</t>
  </si>
  <si>
    <t>Долг родственникам, друзьям</t>
  </si>
  <si>
    <t>Собственные средства</t>
  </si>
  <si>
    <t>Прочие долги</t>
  </si>
  <si>
    <t>Зарплата</t>
  </si>
  <si>
    <t>Выданные долги</t>
  </si>
  <si>
    <t>Прочие товары</t>
  </si>
  <si>
    <t>Отток</t>
  </si>
  <si>
    <t>Поступление вклада</t>
  </si>
  <si>
    <t>Поступление кредита</t>
  </si>
  <si>
    <t>Доход от вклада</t>
  </si>
  <si>
    <t>Поступление долга</t>
  </si>
  <si>
    <t>Приток</t>
  </si>
  <si>
    <t>Продукты</t>
  </si>
  <si>
    <t>Жильё</t>
  </si>
  <si>
    <t>Домашнее хозяйство</t>
  </si>
  <si>
    <t>Личные вещи</t>
  </si>
  <si>
    <t>Пенсия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</si>
</sst>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0" fillId="0" borderId="0" xfId="0" applyNumberFormat="1"/>
    <xf numFmtId="3" fontId="0" fillId="0" borderId="0" xfId="0" applyNumberFormat="1" applyAlignment="1">
      <alignment horizontal="center" vertical="center"/>
    </xf>
    <xf numFmtId="3" fontId="0" fillId="0" borderId="0" xfId="0" applyNumberFormat="1"/>
  </cellXfs>
  <cellStyles count="1">
    <cellStyle name="Обычный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3" formatCode="#,##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Таблица2" displayName="Таблица2" ref="A2:F16" totalsRowShown="0" headerRowDxfId="10">
  <autoFilter ref="A2:F16"/>
  <tableColumns count="6">
    <tableColumn id="1" name="Дата"/>
    <tableColumn id="2" name="Операция"/>
    <tableColumn id="3" name="Группа"/>
    <tableColumn id="5" name="Сумма" dataDxfId="9"/>
    <tableColumn id="6" name="Примечание"/>
    <tableColumn id="7" name="Группа аналитическая">
      <calculatedColumnFormula>INDEX(GroupAnalitics[Аналитические группы],MATCH(Таблица2[Группа],GroupAnalitics[Группа],0))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2:D57" totalsRowShown="0" headerRowDxfId="8">
  <autoFilter ref="A2:D57"/>
  <tableColumns count="4">
    <tableColumn id="1" name="Операция"/>
    <tableColumn id="2" name="Группа"/>
    <tableColumn id="3" name="Статья"/>
    <tableColumn id="4" name="Аналитические групп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low" displayName="Flow" ref="F2:F4" totalsRowShown="0" headerRowDxfId="7">
  <autoFilter ref="F2:F4"/>
  <tableColumns count="1">
    <tableColumn id="1" name="Опер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Приток" displayName="Приток" ref="H2:H8" totalsRowShown="0" headerRowDxfId="6">
  <autoFilter ref="H2:H8"/>
  <tableColumns count="1">
    <tableColumn id="1" name="Приток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st" displayName="Cost" ref="O2:O57" totalsRowShown="0" headerRowDxfId="5">
  <autoFilter ref="O2:O57"/>
  <tableColumns count="1">
    <tableColumn id="1" name="Статья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nalytics" displayName="Analytics" ref="Q2:Q11" totalsRowShown="0" headerRowDxfId="4">
  <autoFilter ref="Q2:Q11"/>
  <tableColumns count="1">
    <tableColumn id="1" name="Аналитические группы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Отток" displayName="Отток" ref="J2:J14" totalsRowShown="0" headerRowDxfId="3" headerRowBorderDxfId="2" tableBorderDxfId="1">
  <autoFilter ref="J2:J14"/>
  <tableColumns count="1">
    <tableColumn id="1" name="Отто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GroupAnalitics" displayName="GroupAnalitics" ref="L2:M20" totalsRowShown="0" headerRowDxfId="0">
  <autoFilter ref="L2:M20"/>
  <tableColumns count="2">
    <tableColumn id="1" name="Группа"/>
    <tableColumn id="2" name="Аналитические групп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workbookViewId="0">
      <selection activeCell="D25" sqref="D25"/>
    </sheetView>
  </sheetViews>
  <sheetFormatPr defaultColWidth="8.85546875" defaultRowHeight="15" x14ac:dyDescent="0.25"/>
  <cols>
    <col min="1" max="2" width="15.5703125" customWidth="1"/>
    <col min="3" max="3" width="31.42578125" customWidth="1"/>
    <col min="4" max="4" width="17.140625" style="7" customWidth="1"/>
    <col min="5" max="5" width="33.42578125" customWidth="1"/>
    <col min="6" max="6" width="40.42578125" customWidth="1"/>
  </cols>
  <sheetData>
    <row r="2" spans="1:6" s="2" customFormat="1" x14ac:dyDescent="0.25">
      <c r="A2" s="2" t="s">
        <v>0</v>
      </c>
      <c r="B2" s="2" t="s">
        <v>1</v>
      </c>
      <c r="C2" s="2" t="s">
        <v>2</v>
      </c>
      <c r="D2" s="6" t="s">
        <v>4</v>
      </c>
      <c r="E2" s="2" t="s">
        <v>5</v>
      </c>
      <c r="F2" s="2" t="s">
        <v>6</v>
      </c>
    </row>
    <row r="3" spans="1:6" x14ac:dyDescent="0.25">
      <c r="A3" s="5">
        <v>46023</v>
      </c>
      <c r="B3" t="s">
        <v>86</v>
      </c>
      <c r="C3" t="s">
        <v>78</v>
      </c>
      <c r="D3" s="7">
        <v>500000</v>
      </c>
      <c r="F3" t="str">
        <f>INDEX(GroupAnalitics[Аналитические группы],MATCH(Таблица2[Группа],GroupAnalitics[Группа],0))</f>
        <v>Собственные средства</v>
      </c>
    </row>
    <row r="4" spans="1:6" x14ac:dyDescent="0.25">
      <c r="A4" s="5">
        <v>46024</v>
      </c>
      <c r="B4" t="s">
        <v>81</v>
      </c>
      <c r="C4" t="s">
        <v>87</v>
      </c>
      <c r="D4" s="7">
        <v>25000</v>
      </c>
      <c r="F4" t="str">
        <f>INDEX(GroupAnalitics[Аналитические группы],MATCH(Таблица2[Группа],GroupAnalitics[Группа],0))</f>
        <v>Базовые расходы</v>
      </c>
    </row>
    <row r="5" spans="1:6" x14ac:dyDescent="0.25">
      <c r="A5" s="5">
        <v>46025</v>
      </c>
      <c r="B5" t="s">
        <v>81</v>
      </c>
      <c r="C5" t="s">
        <v>88</v>
      </c>
      <c r="D5" s="7">
        <v>30000</v>
      </c>
      <c r="F5" t="str">
        <f>INDEX(GroupAnalitics[Аналитические группы],MATCH(Таблица2[Группа],GroupAnalitics[Группа],0))</f>
        <v>Базовые расходы</v>
      </c>
    </row>
    <row r="6" spans="1:6" x14ac:dyDescent="0.25">
      <c r="A6" s="5">
        <v>46026</v>
      </c>
      <c r="B6" t="s">
        <v>81</v>
      </c>
      <c r="C6" t="s">
        <v>89</v>
      </c>
      <c r="D6" s="7">
        <v>50000</v>
      </c>
      <c r="F6" t="str">
        <f>INDEX(GroupAnalitics[Аналитические группы],MATCH(Таблица2[Группа],GroupAnalitics[Группа],0))</f>
        <v>Базовые расходы</v>
      </c>
    </row>
    <row r="7" spans="1:6" x14ac:dyDescent="0.25">
      <c r="A7" s="5">
        <v>46027</v>
      </c>
      <c r="B7" t="s">
        <v>81</v>
      </c>
      <c r="C7" t="s">
        <v>90</v>
      </c>
      <c r="D7" s="7">
        <v>45000</v>
      </c>
      <c r="F7" t="str">
        <f>INDEX(GroupAnalitics[Аналитические группы],MATCH(Таблица2[Группа],GroupAnalitics[Группа],0))</f>
        <v>Базовые расходы</v>
      </c>
    </row>
    <row r="8" spans="1:6" x14ac:dyDescent="0.25">
      <c r="A8" s="5">
        <v>46028</v>
      </c>
      <c r="B8" t="s">
        <v>81</v>
      </c>
      <c r="C8" t="s">
        <v>23</v>
      </c>
      <c r="D8" s="7">
        <v>10000</v>
      </c>
      <c r="F8" t="str">
        <f>INDEX(GroupAnalitics[Аналитические группы],MATCH(Таблица2[Группа],GroupAnalitics[Группа],0))</f>
        <v>Базовые расходы</v>
      </c>
    </row>
    <row r="9" spans="1:6" x14ac:dyDescent="0.25">
      <c r="A9" s="5">
        <v>46029</v>
      </c>
      <c r="B9" t="s">
        <v>81</v>
      </c>
      <c r="C9" t="s">
        <v>29</v>
      </c>
      <c r="D9" s="7">
        <v>30000</v>
      </c>
      <c r="F9" t="str">
        <f>INDEX(GroupAnalitics[Аналитические группы],MATCH(Таблица2[Группа],GroupAnalitics[Группа],0))</f>
        <v>Базовые расходы</v>
      </c>
    </row>
    <row r="10" spans="1:6" x14ac:dyDescent="0.25">
      <c r="A10" s="5">
        <v>46030</v>
      </c>
      <c r="B10" t="s">
        <v>81</v>
      </c>
      <c r="C10" t="s">
        <v>32</v>
      </c>
      <c r="D10" s="7">
        <v>15000</v>
      </c>
      <c r="F10" t="str">
        <f>INDEX(GroupAnalitics[Аналитические группы],MATCH(Таблица2[Группа],GroupAnalitics[Группа],0))</f>
        <v>Базовые расходы</v>
      </c>
    </row>
    <row r="11" spans="1:6" x14ac:dyDescent="0.25">
      <c r="A11" s="5">
        <v>46031</v>
      </c>
      <c r="B11" t="s">
        <v>81</v>
      </c>
      <c r="C11" t="s">
        <v>37</v>
      </c>
      <c r="D11" s="7">
        <v>10000</v>
      </c>
      <c r="F11" t="str">
        <f>INDEX(GroupAnalitics[Аналитические группы],MATCH(Таблица2[Группа],GroupAnalitics[Группа],0))</f>
        <v>Базовые расходы</v>
      </c>
    </row>
    <row r="12" spans="1:6" x14ac:dyDescent="0.25">
      <c r="A12" s="5">
        <v>46037</v>
      </c>
      <c r="B12" t="s">
        <v>81</v>
      </c>
      <c r="C12" t="s">
        <v>42</v>
      </c>
      <c r="D12" s="7">
        <v>20000</v>
      </c>
      <c r="F12" t="str">
        <f>INDEX(GroupAnalitics[Аналитические группы],MATCH(Таблица2[Группа],GroupAnalitics[Группа],0))</f>
        <v>Качественные расходы</v>
      </c>
    </row>
    <row r="13" spans="1:6" x14ac:dyDescent="0.25">
      <c r="A13" s="5">
        <v>46040</v>
      </c>
      <c r="B13" t="s">
        <v>81</v>
      </c>
      <c r="C13" t="s">
        <v>48</v>
      </c>
      <c r="D13" s="7">
        <v>30000</v>
      </c>
      <c r="F13" t="str">
        <f>INDEX(GroupAnalitics[Аналитические группы],MATCH(Таблица2[Группа],GroupAnalitics[Группа],0))</f>
        <v>Финансовые обязательства</v>
      </c>
    </row>
    <row r="14" spans="1:6" x14ac:dyDescent="0.25">
      <c r="A14" s="5">
        <v>46042</v>
      </c>
      <c r="B14" t="s">
        <v>81</v>
      </c>
      <c r="C14" t="s">
        <v>59</v>
      </c>
      <c r="D14" s="7">
        <v>20000</v>
      </c>
      <c r="F14" t="str">
        <f>INDEX(GroupAnalitics[Аналитические группы],MATCH(Таблица2[Группа],GroupAnalitics[Группа],0))</f>
        <v>Сбережения и инвестиции</v>
      </c>
    </row>
    <row r="15" spans="1:6" x14ac:dyDescent="0.25">
      <c r="A15" s="5">
        <v>46047</v>
      </c>
      <c r="B15" t="s">
        <v>81</v>
      </c>
      <c r="C15" t="s">
        <v>56</v>
      </c>
      <c r="D15" s="7">
        <v>15000</v>
      </c>
      <c r="F15" t="str">
        <f>INDEX(GroupAnalitics[Аналитические группы],MATCH(Таблица2[Группа],GroupAnalitics[Группа],0))</f>
        <v>Прочие и дискреционные</v>
      </c>
    </row>
    <row r="16" spans="1:6" x14ac:dyDescent="0.25">
      <c r="A16" s="5">
        <v>46049</v>
      </c>
      <c r="B16" t="s">
        <v>86</v>
      </c>
      <c r="C16" t="s">
        <v>84</v>
      </c>
      <c r="D16" s="7">
        <v>5000</v>
      </c>
      <c r="F16" t="str">
        <f>INDEX(GroupAnalitics[Аналитические группы],MATCH(Таблица2[Группа],GroupAnalitics[Группа],0))</f>
        <v>Собственные средства</v>
      </c>
    </row>
  </sheetData>
  <dataValidations count="1">
    <dataValidation type="list" allowBlank="1" showInputMessage="1" showErrorMessage="1" sqref="C3:C16">
      <formula1>INDIRECT($B3)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Список!$F$3:$F$4</xm:f>
          </x14:formula1>
          <xm:sqref>B3:B16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57"/>
  <sheetViews>
    <sheetView tabSelected="1" topLeftCell="K1" workbookViewId="0">
      <selection activeCell="H29" sqref="H29"/>
    </sheetView>
  </sheetViews>
  <sheetFormatPr defaultRowHeight="15" x14ac:dyDescent="0.25"/>
  <cols>
    <col min="1" max="1" width="12.5703125" customWidth="1"/>
    <col min="2" max="2" width="32.28515625" customWidth="1"/>
    <col min="3" max="3" width="30.42578125" customWidth="1"/>
    <col min="4" max="4" width="28.140625" bestFit="1" customWidth="1"/>
    <col min="5" max="5" width="4.5703125" customWidth="1"/>
    <col min="6" max="6" width="15.42578125" customWidth="1"/>
    <col min="7" max="7" width="3.42578125" customWidth="1"/>
    <col min="8" max="8" width="28.140625" bestFit="1" customWidth="1"/>
    <col min="9" max="9" width="4.140625" customWidth="1"/>
    <col min="10" max="10" width="37.28515625" customWidth="1"/>
    <col min="11" max="11" width="4.140625" customWidth="1"/>
    <col min="12" max="12" width="27.85546875" customWidth="1"/>
    <col min="13" max="13" width="28.140625" bestFit="1" customWidth="1"/>
    <col min="14" max="14" width="4.140625" customWidth="1"/>
    <col min="15" max="15" width="29.42578125" bestFit="1" customWidth="1"/>
    <col min="16" max="16" width="4.5703125" customWidth="1"/>
    <col min="17" max="17" width="28.140625" bestFit="1" customWidth="1"/>
  </cols>
  <sheetData>
    <row r="2" spans="1:17" s="3" customFormat="1" x14ac:dyDescent="0.25">
      <c r="A2" s="3" t="s">
        <v>1</v>
      </c>
      <c r="B2" s="3" t="s">
        <v>2</v>
      </c>
      <c r="C2" s="3" t="s">
        <v>3</v>
      </c>
      <c r="D2" s="3" t="s">
        <v>7</v>
      </c>
      <c r="F2" s="3" t="s">
        <v>1</v>
      </c>
      <c r="H2" s="3" t="s">
        <v>86</v>
      </c>
      <c r="J2" s="4" t="s">
        <v>81</v>
      </c>
      <c r="L2" s="3" t="s">
        <v>2</v>
      </c>
      <c r="M2" s="3" t="s">
        <v>7</v>
      </c>
      <c r="O2" s="3" t="s">
        <v>3</v>
      </c>
      <c r="Q2" s="1" t="s">
        <v>7</v>
      </c>
    </row>
    <row r="3" spans="1:17" x14ac:dyDescent="0.25">
      <c r="A3" t="s">
        <v>81</v>
      </c>
      <c r="B3" t="s">
        <v>8</v>
      </c>
      <c r="C3" t="s">
        <v>9</v>
      </c>
      <c r="D3" t="s">
        <v>10</v>
      </c>
      <c r="F3" t="s">
        <v>81</v>
      </c>
      <c r="H3" t="s">
        <v>78</v>
      </c>
      <c r="J3" t="s">
        <v>87</v>
      </c>
      <c r="L3" t="s">
        <v>87</v>
      </c>
      <c r="M3" t="s">
        <v>10</v>
      </c>
      <c r="O3" t="s">
        <v>9</v>
      </c>
      <c r="Q3" t="s">
        <v>10</v>
      </c>
    </row>
    <row r="4" spans="1:17" x14ac:dyDescent="0.25">
      <c r="A4" t="s">
        <v>81</v>
      </c>
      <c r="B4" t="s">
        <v>8</v>
      </c>
      <c r="C4" t="s">
        <v>11</v>
      </c>
      <c r="D4" t="s">
        <v>10</v>
      </c>
      <c r="F4" t="s">
        <v>86</v>
      </c>
      <c r="H4" t="s">
        <v>91</v>
      </c>
      <c r="J4" t="s">
        <v>88</v>
      </c>
      <c r="L4" t="s">
        <v>88</v>
      </c>
      <c r="M4" t="s">
        <v>10</v>
      </c>
      <c r="O4" t="s">
        <v>11</v>
      </c>
      <c r="Q4" t="s">
        <v>18</v>
      </c>
    </row>
    <row r="5" spans="1:17" x14ac:dyDescent="0.25">
      <c r="A5" t="s">
        <v>81</v>
      </c>
      <c r="B5" t="s">
        <v>12</v>
      </c>
      <c r="C5" t="s">
        <v>13</v>
      </c>
      <c r="D5" t="s">
        <v>10</v>
      </c>
      <c r="H5" t="s">
        <v>83</v>
      </c>
      <c r="J5" t="s">
        <v>89</v>
      </c>
      <c r="L5" t="s">
        <v>89</v>
      </c>
      <c r="M5" t="s">
        <v>10</v>
      </c>
      <c r="O5" t="s">
        <v>13</v>
      </c>
      <c r="Q5" t="s">
        <v>48</v>
      </c>
    </row>
    <row r="6" spans="1:17" x14ac:dyDescent="0.25">
      <c r="A6" t="s">
        <v>81</v>
      </c>
      <c r="B6" t="s">
        <v>12</v>
      </c>
      <c r="C6" t="s">
        <v>14</v>
      </c>
      <c r="D6" t="s">
        <v>10</v>
      </c>
      <c r="H6" t="s">
        <v>82</v>
      </c>
      <c r="J6" t="s">
        <v>90</v>
      </c>
      <c r="L6" t="s">
        <v>90</v>
      </c>
      <c r="M6" t="s">
        <v>10</v>
      </c>
      <c r="O6" t="s">
        <v>14</v>
      </c>
      <c r="Q6" t="s">
        <v>53</v>
      </c>
    </row>
    <row r="7" spans="1:17" x14ac:dyDescent="0.25">
      <c r="A7" t="s">
        <v>81</v>
      </c>
      <c r="B7" t="s">
        <v>15</v>
      </c>
      <c r="C7" t="s">
        <v>80</v>
      </c>
      <c r="D7" t="s">
        <v>10</v>
      </c>
      <c r="H7" t="s">
        <v>84</v>
      </c>
      <c r="J7" t="s">
        <v>23</v>
      </c>
      <c r="L7" t="s">
        <v>23</v>
      </c>
      <c r="M7" t="s">
        <v>10</v>
      </c>
      <c r="O7" t="s">
        <v>80</v>
      </c>
      <c r="Q7" t="s">
        <v>59</v>
      </c>
    </row>
    <row r="8" spans="1:17" x14ac:dyDescent="0.25">
      <c r="A8" t="s">
        <v>81</v>
      </c>
      <c r="B8" t="s">
        <v>15</v>
      </c>
      <c r="C8" t="s">
        <v>16</v>
      </c>
      <c r="D8" t="s">
        <v>10</v>
      </c>
      <c r="H8" t="s">
        <v>71</v>
      </c>
      <c r="J8" t="s">
        <v>29</v>
      </c>
      <c r="L8" t="s">
        <v>29</v>
      </c>
      <c r="M8" t="s">
        <v>10</v>
      </c>
      <c r="O8" t="s">
        <v>16</v>
      </c>
      <c r="Q8" t="s">
        <v>65</v>
      </c>
    </row>
    <row r="9" spans="1:17" x14ac:dyDescent="0.25">
      <c r="A9" t="s">
        <v>81</v>
      </c>
      <c r="B9" t="s">
        <v>15</v>
      </c>
      <c r="C9" t="s">
        <v>17</v>
      </c>
      <c r="D9" t="s">
        <v>18</v>
      </c>
      <c r="J9" t="s">
        <v>32</v>
      </c>
      <c r="L9" t="s">
        <v>32</v>
      </c>
      <c r="M9" t="s">
        <v>10</v>
      </c>
      <c r="O9" t="s">
        <v>17</v>
      </c>
      <c r="Q9" t="s">
        <v>69</v>
      </c>
    </row>
    <row r="10" spans="1:17" x14ac:dyDescent="0.25">
      <c r="A10" t="s">
        <v>81</v>
      </c>
      <c r="B10" t="s">
        <v>19</v>
      </c>
      <c r="C10" t="s">
        <v>20</v>
      </c>
      <c r="D10" t="s">
        <v>10</v>
      </c>
      <c r="J10" t="s">
        <v>37</v>
      </c>
      <c r="L10" t="s">
        <v>37</v>
      </c>
      <c r="M10" t="s">
        <v>10</v>
      </c>
      <c r="O10" t="s">
        <v>20</v>
      </c>
      <c r="Q10" t="s">
        <v>73</v>
      </c>
    </row>
    <row r="11" spans="1:17" x14ac:dyDescent="0.25">
      <c r="A11" t="s">
        <v>81</v>
      </c>
      <c r="B11" t="s">
        <v>19</v>
      </c>
      <c r="C11" t="s">
        <v>21</v>
      </c>
      <c r="D11" t="s">
        <v>10</v>
      </c>
      <c r="J11" t="s">
        <v>42</v>
      </c>
      <c r="L11" t="s">
        <v>42</v>
      </c>
      <c r="M11" t="s">
        <v>18</v>
      </c>
      <c r="O11" t="s">
        <v>21</v>
      </c>
      <c r="Q11" t="s">
        <v>76</v>
      </c>
    </row>
    <row r="12" spans="1:17" x14ac:dyDescent="0.25">
      <c r="A12" t="s">
        <v>81</v>
      </c>
      <c r="B12" t="s">
        <v>19</v>
      </c>
      <c r="C12" t="s">
        <v>22</v>
      </c>
      <c r="D12" t="s">
        <v>10</v>
      </c>
      <c r="J12" t="s">
        <v>48</v>
      </c>
      <c r="L12" t="s">
        <v>48</v>
      </c>
      <c r="M12" t="s">
        <v>48</v>
      </c>
      <c r="O12" t="s">
        <v>22</v>
      </c>
    </row>
    <row r="13" spans="1:17" x14ac:dyDescent="0.25">
      <c r="A13" t="s">
        <v>81</v>
      </c>
      <c r="B13" t="s">
        <v>23</v>
      </c>
      <c r="C13" t="s">
        <v>24</v>
      </c>
      <c r="D13" t="s">
        <v>10</v>
      </c>
      <c r="J13" t="s">
        <v>59</v>
      </c>
      <c r="L13" t="s">
        <v>56</v>
      </c>
      <c r="M13" t="s">
        <v>53</v>
      </c>
      <c r="O13" t="s">
        <v>24</v>
      </c>
    </row>
    <row r="14" spans="1:17" x14ac:dyDescent="0.25">
      <c r="A14" t="s">
        <v>81</v>
      </c>
      <c r="B14" t="s">
        <v>23</v>
      </c>
      <c r="C14" t="s">
        <v>25</v>
      </c>
      <c r="D14" t="s">
        <v>10</v>
      </c>
      <c r="J14" t="s">
        <v>56</v>
      </c>
      <c r="L14" t="s">
        <v>59</v>
      </c>
      <c r="M14" t="s">
        <v>59</v>
      </c>
      <c r="O14" t="s">
        <v>25</v>
      </c>
    </row>
    <row r="15" spans="1:17" x14ac:dyDescent="0.25">
      <c r="A15" t="s">
        <v>81</v>
      </c>
      <c r="B15" t="s">
        <v>23</v>
      </c>
      <c r="C15" t="s">
        <v>26</v>
      </c>
      <c r="D15" t="s">
        <v>10</v>
      </c>
      <c r="L15" t="s">
        <v>78</v>
      </c>
      <c r="M15" t="s">
        <v>76</v>
      </c>
      <c r="O15" t="s">
        <v>26</v>
      </c>
    </row>
    <row r="16" spans="1:17" x14ac:dyDescent="0.25">
      <c r="A16" t="s">
        <v>81</v>
      </c>
      <c r="B16" t="s">
        <v>23</v>
      </c>
      <c r="C16" t="s">
        <v>27</v>
      </c>
      <c r="D16" t="s">
        <v>10</v>
      </c>
      <c r="L16" t="s">
        <v>91</v>
      </c>
      <c r="M16" t="s">
        <v>76</v>
      </c>
      <c r="O16" t="s">
        <v>27</v>
      </c>
    </row>
    <row r="17" spans="1:15" x14ac:dyDescent="0.25">
      <c r="A17" t="s">
        <v>81</v>
      </c>
      <c r="B17" t="s">
        <v>23</v>
      </c>
      <c r="C17" t="s">
        <v>28</v>
      </c>
      <c r="D17" t="s">
        <v>10</v>
      </c>
      <c r="L17" t="s">
        <v>83</v>
      </c>
      <c r="M17" t="s">
        <v>69</v>
      </c>
      <c r="O17" t="s">
        <v>28</v>
      </c>
    </row>
    <row r="18" spans="1:15" x14ac:dyDescent="0.25">
      <c r="A18" t="s">
        <v>81</v>
      </c>
      <c r="B18" t="s">
        <v>29</v>
      </c>
      <c r="C18" t="s">
        <v>30</v>
      </c>
      <c r="D18" t="s">
        <v>18</v>
      </c>
      <c r="L18" t="s">
        <v>82</v>
      </c>
      <c r="M18" t="s">
        <v>76</v>
      </c>
      <c r="O18" t="s">
        <v>30</v>
      </c>
    </row>
    <row r="19" spans="1:15" x14ac:dyDescent="0.25">
      <c r="A19" t="s">
        <v>81</v>
      </c>
      <c r="B19" t="s">
        <v>29</v>
      </c>
      <c r="C19" t="s">
        <v>31</v>
      </c>
      <c r="D19" t="s">
        <v>18</v>
      </c>
      <c r="L19" t="s">
        <v>84</v>
      </c>
      <c r="M19" t="s">
        <v>76</v>
      </c>
      <c r="O19" t="s">
        <v>31</v>
      </c>
    </row>
    <row r="20" spans="1:15" x14ac:dyDescent="0.25">
      <c r="A20" t="s">
        <v>81</v>
      </c>
      <c r="B20" t="s">
        <v>29</v>
      </c>
      <c r="C20" t="s">
        <v>26</v>
      </c>
      <c r="D20" t="s">
        <v>18</v>
      </c>
      <c r="L20" t="s">
        <v>71</v>
      </c>
      <c r="M20" t="s">
        <v>73</v>
      </c>
      <c r="O20" t="s">
        <v>26</v>
      </c>
    </row>
    <row r="21" spans="1:15" x14ac:dyDescent="0.25">
      <c r="A21" t="s">
        <v>81</v>
      </c>
      <c r="B21" t="s">
        <v>32</v>
      </c>
      <c r="C21" t="s">
        <v>33</v>
      </c>
      <c r="D21" t="s">
        <v>10</v>
      </c>
      <c r="O21" t="s">
        <v>33</v>
      </c>
    </row>
    <row r="22" spans="1:15" x14ac:dyDescent="0.25">
      <c r="A22" t="s">
        <v>81</v>
      </c>
      <c r="B22" t="s">
        <v>32</v>
      </c>
      <c r="C22" t="s">
        <v>34</v>
      </c>
      <c r="D22" t="s">
        <v>18</v>
      </c>
      <c r="O22" t="s">
        <v>34</v>
      </c>
    </row>
    <row r="23" spans="1:15" x14ac:dyDescent="0.25">
      <c r="A23" t="s">
        <v>81</v>
      </c>
      <c r="B23" t="s">
        <v>32</v>
      </c>
      <c r="C23" t="s">
        <v>35</v>
      </c>
      <c r="D23" t="s">
        <v>18</v>
      </c>
      <c r="O23" t="s">
        <v>35</v>
      </c>
    </row>
    <row r="24" spans="1:15" x14ac:dyDescent="0.25">
      <c r="A24" t="s">
        <v>81</v>
      </c>
      <c r="B24" t="s">
        <v>32</v>
      </c>
      <c r="C24" t="s">
        <v>36</v>
      </c>
      <c r="D24" t="s">
        <v>18</v>
      </c>
      <c r="O24" t="s">
        <v>36</v>
      </c>
    </row>
    <row r="25" spans="1:15" x14ac:dyDescent="0.25">
      <c r="A25" t="s">
        <v>81</v>
      </c>
      <c r="B25" t="s">
        <v>37</v>
      </c>
      <c r="C25" t="s">
        <v>38</v>
      </c>
      <c r="D25" t="s">
        <v>10</v>
      </c>
      <c r="O25" t="s">
        <v>38</v>
      </c>
    </row>
    <row r="26" spans="1:15" x14ac:dyDescent="0.25">
      <c r="A26" t="s">
        <v>81</v>
      </c>
      <c r="B26" t="s">
        <v>37</v>
      </c>
      <c r="C26" t="s">
        <v>39</v>
      </c>
      <c r="D26" t="s">
        <v>10</v>
      </c>
      <c r="O26" t="s">
        <v>39</v>
      </c>
    </row>
    <row r="27" spans="1:15" x14ac:dyDescent="0.25">
      <c r="A27" t="s">
        <v>81</v>
      </c>
      <c r="B27" t="s">
        <v>37</v>
      </c>
      <c r="C27" t="s">
        <v>40</v>
      </c>
      <c r="D27" t="s">
        <v>18</v>
      </c>
      <c r="O27" t="s">
        <v>40</v>
      </c>
    </row>
    <row r="28" spans="1:15" x14ac:dyDescent="0.25">
      <c r="A28" t="s">
        <v>81</v>
      </c>
      <c r="B28" t="s">
        <v>37</v>
      </c>
      <c r="C28" t="s">
        <v>41</v>
      </c>
      <c r="D28" t="s">
        <v>18</v>
      </c>
      <c r="O28" t="s">
        <v>41</v>
      </c>
    </row>
    <row r="29" spans="1:15" x14ac:dyDescent="0.25">
      <c r="A29" t="s">
        <v>81</v>
      </c>
      <c r="B29" t="s">
        <v>42</v>
      </c>
      <c r="C29" t="s">
        <v>43</v>
      </c>
      <c r="D29" t="s">
        <v>18</v>
      </c>
      <c r="O29" t="s">
        <v>43</v>
      </c>
    </row>
    <row r="30" spans="1:15" x14ac:dyDescent="0.25">
      <c r="A30" t="s">
        <v>81</v>
      </c>
      <c r="B30" t="s">
        <v>42</v>
      </c>
      <c r="C30" t="s">
        <v>44</v>
      </c>
      <c r="D30" t="s">
        <v>18</v>
      </c>
      <c r="O30" t="s">
        <v>44</v>
      </c>
    </row>
    <row r="31" spans="1:15" x14ac:dyDescent="0.25">
      <c r="A31" t="s">
        <v>81</v>
      </c>
      <c r="B31" t="s">
        <v>42</v>
      </c>
      <c r="C31" t="s">
        <v>45</v>
      </c>
      <c r="D31" t="s">
        <v>18</v>
      </c>
      <c r="O31" t="s">
        <v>45</v>
      </c>
    </row>
    <row r="32" spans="1:15" x14ac:dyDescent="0.25">
      <c r="A32" t="s">
        <v>81</v>
      </c>
      <c r="B32" t="s">
        <v>42</v>
      </c>
      <c r="C32" t="s">
        <v>46</v>
      </c>
      <c r="D32" t="s">
        <v>18</v>
      </c>
      <c r="O32" t="s">
        <v>46</v>
      </c>
    </row>
    <row r="33" spans="1:15" x14ac:dyDescent="0.25">
      <c r="A33" t="s">
        <v>81</v>
      </c>
      <c r="B33" t="s">
        <v>42</v>
      </c>
      <c r="C33" t="s">
        <v>47</v>
      </c>
      <c r="D33" t="s">
        <v>18</v>
      </c>
      <c r="O33" t="s">
        <v>47</v>
      </c>
    </row>
    <row r="34" spans="1:15" x14ac:dyDescent="0.25">
      <c r="A34" t="s">
        <v>81</v>
      </c>
      <c r="B34" t="s">
        <v>48</v>
      </c>
      <c r="C34" t="s">
        <v>49</v>
      </c>
      <c r="D34" t="s">
        <v>48</v>
      </c>
      <c r="O34" t="s">
        <v>49</v>
      </c>
    </row>
    <row r="35" spans="1:15" x14ac:dyDescent="0.25">
      <c r="A35" t="s">
        <v>81</v>
      </c>
      <c r="B35" t="s">
        <v>48</v>
      </c>
      <c r="C35" t="s">
        <v>50</v>
      </c>
      <c r="D35" t="s">
        <v>48</v>
      </c>
      <c r="O35" t="s">
        <v>50</v>
      </c>
    </row>
    <row r="36" spans="1:15" x14ac:dyDescent="0.25">
      <c r="A36" t="s">
        <v>81</v>
      </c>
      <c r="B36" t="s">
        <v>48</v>
      </c>
      <c r="C36" t="s">
        <v>51</v>
      </c>
      <c r="D36" t="s">
        <v>48</v>
      </c>
      <c r="O36" t="s">
        <v>51</v>
      </c>
    </row>
    <row r="37" spans="1:15" x14ac:dyDescent="0.25">
      <c r="A37" t="s">
        <v>81</v>
      </c>
      <c r="B37" t="s">
        <v>48</v>
      </c>
      <c r="C37" t="s">
        <v>52</v>
      </c>
      <c r="D37" t="s">
        <v>53</v>
      </c>
      <c r="O37" t="s">
        <v>52</v>
      </c>
    </row>
    <row r="38" spans="1:15" x14ac:dyDescent="0.25">
      <c r="A38" t="s">
        <v>81</v>
      </c>
      <c r="B38" t="s">
        <v>48</v>
      </c>
      <c r="C38" t="s">
        <v>54</v>
      </c>
      <c r="D38" t="s">
        <v>48</v>
      </c>
      <c r="O38" t="s">
        <v>54</v>
      </c>
    </row>
    <row r="39" spans="1:15" x14ac:dyDescent="0.25">
      <c r="A39" t="s">
        <v>81</v>
      </c>
      <c r="B39" t="s">
        <v>48</v>
      </c>
      <c r="C39" t="s">
        <v>55</v>
      </c>
      <c r="D39" t="s">
        <v>48</v>
      </c>
      <c r="O39" t="s">
        <v>55</v>
      </c>
    </row>
    <row r="40" spans="1:15" x14ac:dyDescent="0.25">
      <c r="A40" t="s">
        <v>81</v>
      </c>
      <c r="B40" t="s">
        <v>56</v>
      </c>
      <c r="C40" t="s">
        <v>57</v>
      </c>
      <c r="D40" t="s">
        <v>53</v>
      </c>
      <c r="O40" t="s">
        <v>57</v>
      </c>
    </row>
    <row r="41" spans="1:15" x14ac:dyDescent="0.25">
      <c r="A41" t="s">
        <v>81</v>
      </c>
      <c r="B41" t="s">
        <v>56</v>
      </c>
      <c r="C41" t="s">
        <v>58</v>
      </c>
      <c r="D41" t="s">
        <v>53</v>
      </c>
      <c r="O41" t="s">
        <v>58</v>
      </c>
    </row>
    <row r="42" spans="1:15" x14ac:dyDescent="0.25">
      <c r="A42" t="s">
        <v>81</v>
      </c>
      <c r="B42" t="s">
        <v>59</v>
      </c>
      <c r="C42" t="s">
        <v>60</v>
      </c>
      <c r="D42" t="s">
        <v>59</v>
      </c>
      <c r="O42" t="s">
        <v>60</v>
      </c>
    </row>
    <row r="43" spans="1:15" x14ac:dyDescent="0.25">
      <c r="A43" t="s">
        <v>81</v>
      </c>
      <c r="B43" t="s">
        <v>59</v>
      </c>
      <c r="C43" t="s">
        <v>61</v>
      </c>
      <c r="D43" t="s">
        <v>59</v>
      </c>
      <c r="O43" t="s">
        <v>61</v>
      </c>
    </row>
    <row r="44" spans="1:15" x14ac:dyDescent="0.25">
      <c r="A44" t="s">
        <v>81</v>
      </c>
      <c r="B44" t="s">
        <v>59</v>
      </c>
      <c r="C44" t="s">
        <v>62</v>
      </c>
      <c r="D44" t="s">
        <v>59</v>
      </c>
      <c r="O44" t="s">
        <v>62</v>
      </c>
    </row>
    <row r="45" spans="1:15" x14ac:dyDescent="0.25">
      <c r="A45" t="s">
        <v>81</v>
      </c>
      <c r="B45" t="s">
        <v>59</v>
      </c>
      <c r="C45" t="s">
        <v>63</v>
      </c>
      <c r="D45" t="s">
        <v>59</v>
      </c>
      <c r="O45" t="s">
        <v>63</v>
      </c>
    </row>
    <row r="46" spans="1:15" x14ac:dyDescent="0.25">
      <c r="A46" t="s">
        <v>81</v>
      </c>
      <c r="B46" t="s">
        <v>79</v>
      </c>
      <c r="C46" t="s">
        <v>79</v>
      </c>
      <c r="D46" t="s">
        <v>53</v>
      </c>
      <c r="O46" t="s">
        <v>79</v>
      </c>
    </row>
    <row r="47" spans="1:15" x14ac:dyDescent="0.25">
      <c r="A47" t="s">
        <v>86</v>
      </c>
      <c r="B47" t="s">
        <v>82</v>
      </c>
      <c r="C47" t="s">
        <v>64</v>
      </c>
      <c r="D47" t="s">
        <v>65</v>
      </c>
      <c r="O47" t="s">
        <v>64</v>
      </c>
    </row>
    <row r="48" spans="1:15" x14ac:dyDescent="0.25">
      <c r="A48" t="s">
        <v>86</v>
      </c>
      <c r="B48" t="s">
        <v>84</v>
      </c>
      <c r="C48" t="s">
        <v>66</v>
      </c>
      <c r="D48" t="s">
        <v>65</v>
      </c>
      <c r="O48" t="s">
        <v>66</v>
      </c>
    </row>
    <row r="49" spans="1:15" x14ac:dyDescent="0.25">
      <c r="A49" t="s">
        <v>86</v>
      </c>
      <c r="B49" t="s">
        <v>84</v>
      </c>
      <c r="C49" t="s">
        <v>67</v>
      </c>
      <c r="D49" t="s">
        <v>65</v>
      </c>
      <c r="O49" t="s">
        <v>67</v>
      </c>
    </row>
    <row r="50" spans="1:15" x14ac:dyDescent="0.25">
      <c r="A50" t="s">
        <v>86</v>
      </c>
      <c r="B50" t="s">
        <v>83</v>
      </c>
      <c r="C50" t="s">
        <v>68</v>
      </c>
      <c r="D50" t="s">
        <v>69</v>
      </c>
      <c r="O50" t="s">
        <v>68</v>
      </c>
    </row>
    <row r="51" spans="1:15" x14ac:dyDescent="0.25">
      <c r="A51" t="s">
        <v>86</v>
      </c>
      <c r="B51" t="s">
        <v>83</v>
      </c>
      <c r="C51" t="s">
        <v>50</v>
      </c>
      <c r="D51" t="s">
        <v>69</v>
      </c>
      <c r="O51" t="s">
        <v>50</v>
      </c>
    </row>
    <row r="52" spans="1:15" x14ac:dyDescent="0.25">
      <c r="A52" t="s">
        <v>86</v>
      </c>
      <c r="B52" t="s">
        <v>83</v>
      </c>
      <c r="C52" t="s">
        <v>70</v>
      </c>
      <c r="D52" t="s">
        <v>69</v>
      </c>
      <c r="O52" t="s">
        <v>70</v>
      </c>
    </row>
    <row r="53" spans="1:15" x14ac:dyDescent="0.25">
      <c r="A53" t="s">
        <v>86</v>
      </c>
      <c r="B53" t="s">
        <v>71</v>
      </c>
      <c r="C53" t="s">
        <v>72</v>
      </c>
      <c r="D53" t="s">
        <v>73</v>
      </c>
      <c r="O53" t="s">
        <v>72</v>
      </c>
    </row>
    <row r="54" spans="1:15" x14ac:dyDescent="0.25">
      <c r="A54" t="s">
        <v>86</v>
      </c>
      <c r="B54" t="s">
        <v>71</v>
      </c>
      <c r="C54" t="s">
        <v>74</v>
      </c>
      <c r="D54" t="s">
        <v>73</v>
      </c>
      <c r="O54" t="s">
        <v>74</v>
      </c>
    </row>
    <row r="55" spans="1:15" x14ac:dyDescent="0.25">
      <c r="A55" t="s">
        <v>86</v>
      </c>
      <c r="B55" t="s">
        <v>85</v>
      </c>
      <c r="C55" t="s">
        <v>75</v>
      </c>
      <c r="D55" t="s">
        <v>76</v>
      </c>
      <c r="O55" t="s">
        <v>75</v>
      </c>
    </row>
    <row r="56" spans="1:15" x14ac:dyDescent="0.25">
      <c r="A56" t="s">
        <v>86</v>
      </c>
      <c r="B56" t="s">
        <v>85</v>
      </c>
      <c r="C56" t="s">
        <v>77</v>
      </c>
      <c r="D56" t="s">
        <v>76</v>
      </c>
      <c r="O56" t="s">
        <v>77</v>
      </c>
    </row>
    <row r="57" spans="1:15" x14ac:dyDescent="0.25">
      <c r="A57" t="s">
        <v>86</v>
      </c>
      <c r="B57" t="s">
        <v>78</v>
      </c>
      <c r="C57" t="s">
        <v>78</v>
      </c>
      <c r="D57" t="s">
        <v>76</v>
      </c>
      <c r="O57" t="s">
        <v>78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Список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2025-11-26T12:08:58Z</dcterms:modified>
</cp:coreProperties>
</file>