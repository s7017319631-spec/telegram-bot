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My-telegram-bot\telegram-bot_render\files\"/>
    </mc:Choice>
  </mc:AlternateContent>
  <bookViews>
    <workbookView xWindow="240" yWindow="105" windowWidth="14805" windowHeight="8010" activeTab="3"/>
  </bookViews>
  <sheets>
    <sheet name="Инструкция" sheetId="4" r:id="rId1"/>
    <sheet name="Данные" sheetId="1" r:id="rId2"/>
    <sheet name="Отчет" sheetId="3" r:id="rId3"/>
    <sheet name="Справочники" sheetId="2" r:id="rId4"/>
  </sheets>
  <calcPr calcId="152511"/>
  <pivotCaches>
    <pivotCache cacheId="5" r:id="rId5"/>
  </pivotCaches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<sst xmlns="http://schemas.openxmlformats.org/spreadsheetml/2006/main" count="258" uniqueCount="216">
  <si>
    <t>Дата</t>
  </si>
  <si>
    <t>Операция</t>
  </si>
  <si>
    <t>Группа</t>
  </si>
  <si>
    <t>Группа аналитическая</t>
  </si>
  <si>
    <t>Сумма</t>
  </si>
  <si>
    <t>Примечание</t>
  </si>
  <si>
    <t>Приток</t>
  </si>
  <si>
    <t>Доход от вклада</t>
  </si>
  <si>
    <t>Отток</t>
  </si>
  <si>
    <t>Домашнее хозяйство</t>
  </si>
  <si>
    <t>Сбережения и инвестиции</t>
  </si>
  <si>
    <t>Базовые расходы</t>
  </si>
  <si>
    <t>Зарплата</t>
  </si>
  <si>
    <t>Жильё</t>
  </si>
  <si>
    <t>Заемные средства</t>
  </si>
  <si>
    <t>Качественные расходы</t>
  </si>
  <si>
    <t>Пенсия</t>
  </si>
  <si>
    <t>Здоровье</t>
  </si>
  <si>
    <t>Поступление безвозмездное</t>
  </si>
  <si>
    <t>Финансовые обязательства</t>
  </si>
  <si>
    <t>Культура, отдых и спорт</t>
  </si>
  <si>
    <t>Прочие и дискреционные</t>
  </si>
  <si>
    <t>Поступление вклада</t>
  </si>
  <si>
    <t>Личные вещи</t>
  </si>
  <si>
    <t>Поступление кредита</t>
  </si>
  <si>
    <t>Образование</t>
  </si>
  <si>
    <t>Помощь и пожертвования</t>
  </si>
  <si>
    <t>Продукты</t>
  </si>
  <si>
    <t>Связь и интернет</t>
  </si>
  <si>
    <t>Транспорт</t>
  </si>
  <si>
    <t>Группы приток</t>
  </si>
  <si>
    <t>Группы отток</t>
  </si>
  <si>
    <t>Аналитика приток</t>
  </si>
  <si>
    <t>Аналитика отток</t>
  </si>
  <si>
    <t>Основной доход</t>
  </si>
  <si>
    <t>Переменный доход</t>
  </si>
  <si>
    <t>Остаток</t>
  </si>
  <si>
    <t>Общий итог</t>
  </si>
  <si>
    <t>Движение денег</t>
  </si>
  <si>
    <t>Сумма, тг</t>
  </si>
  <si>
    <t>Поступление денег</t>
  </si>
  <si>
    <t>Расходы</t>
  </si>
  <si>
    <t>Группа расходов</t>
  </si>
  <si>
    <t>📘 Инструкция для пользователя</t>
  </si>
  <si>
    <t>Семейный бюджет в Excel — как начать работу</t>
  </si>
  <si>
    <t>🎯 Что это за файл</t>
  </si>
  <si>
    <t>Это готовый шаблон для учёта семейных доходов и расходов. Он позволяет:</t>
  </si>
  <si>
    <t>✅ Вести учёт операций с удобными выпадающими списками</t>
  </si>
  <si>
    <t>✅ Автоматически формировать отчёты и графики</t>
  </si>
  <si>
    <t>✅ Анализировать расходы по группам</t>
  </si>
  <si>
    <t>✅ Работать в Excel Online, на ПК, Mac и в мобильном приложении</t>
  </si>
  <si>
    <r>
      <t>Ваша задача — очистить демо-данные и внести свои.</t>
    </r>
    <r>
      <rPr>
        <sz val="10"/>
        <color rgb="FF0F1115"/>
        <rFont val="Segoe UI"/>
        <family val="2"/>
        <charset val="204"/>
      </rPr>
      <t xml:space="preserve"> Всё остальное (отчёты, графики) обновится автоматически.</t>
    </r>
  </si>
  <si>
    <t>📋 Структура файла</t>
  </si>
  <si>
    <t>Лист</t>
  </si>
  <si>
    <t>Назначение</t>
  </si>
  <si>
    <t>Инструкция</t>
  </si>
  <si>
    <t>Этот лист с описанием</t>
  </si>
  <si>
    <t>Данные</t>
  </si>
  <si>
    <t>Здесь вы вносите все операции (умная таблица)</t>
  </si>
  <si>
    <t>Отчёт</t>
  </si>
  <si>
    <t>Сводные таблицы и графики (обновляются автоматически)</t>
  </si>
  <si>
    <t>Справочники</t>
  </si>
  <si>
    <t>Списки групп и аналитики (можно редактировать)</t>
  </si>
  <si>
    <t>🚀 ПОШАГОВАЯ ИНСТРУКЦИЯ</t>
  </si>
  <si>
    <t>ШАГ 1. Сделайте копию файла (обязательно!)</t>
  </si>
  <si>
    <r>
      <t xml:space="preserve">Прежде чем что-то менять — </t>
    </r>
    <r>
      <rPr>
        <sz val="10"/>
        <color rgb="FF0F1115"/>
        <rFont val="Segoe UI"/>
        <family val="2"/>
        <charset val="204"/>
      </rPr>
      <t>создайте резервную копию</t>
    </r>
    <r>
      <rPr>
        <sz val="10"/>
        <color rgb="FF0F1115"/>
        <rFont val="Segoe UI"/>
        <family val="2"/>
        <charset val="204"/>
      </rPr>
      <t>:</t>
    </r>
  </si>
  <si>
    <t>1. Откройте файл</t>
  </si>
  <si>
    <r>
      <t>2. Файл → Создать копию</t>
    </r>
    <r>
      <rPr>
        <sz val="10"/>
        <color rgb="FF0F1115"/>
        <rFont val="Segoe UI"/>
        <family val="2"/>
        <charset val="204"/>
      </rPr>
      <t xml:space="preserve"> (или скачайте себе на компьютер)</t>
    </r>
  </si>
  <si>
    <r>
      <t xml:space="preserve">3. Переименуйте копию, например: </t>
    </r>
    <r>
      <rPr>
        <sz val="9.6"/>
        <color rgb="FF0F1115"/>
        <rFont val="Consolas"/>
        <family val="3"/>
        <charset val="204"/>
      </rPr>
      <t>Семейный бюджет 2025.xlsx</t>
    </r>
  </si>
  <si>
    <t>💡 Если что-то пойдёт не так — у вас останется оригинал.</t>
  </si>
  <si>
    <t>ШАГ 2. Очистите старые данные на листе "Данные"</t>
  </si>
  <si>
    <r>
      <t xml:space="preserve">1. Перейдите на лист </t>
    </r>
    <r>
      <rPr>
        <sz val="10"/>
        <color rgb="FF0F1115"/>
        <rFont val="Segoe UI"/>
        <family val="2"/>
        <charset val="204"/>
      </rPr>
      <t>"Данные"</t>
    </r>
  </si>
  <si>
    <r>
      <t xml:space="preserve">2. Выделите </t>
    </r>
    <r>
      <rPr>
        <sz val="10"/>
        <color rgb="FF0F1115"/>
        <rFont val="Segoe UI"/>
        <family val="2"/>
        <charset val="204"/>
      </rPr>
      <t>все строки с данными</t>
    </r>
    <r>
      <rPr>
        <sz val="10"/>
        <color rgb="FF0F1115"/>
        <rFont val="Segoe UI"/>
        <family val="2"/>
        <charset val="204"/>
      </rPr>
      <t xml:space="preserve"> (не заголовок!)</t>
    </r>
  </si>
  <si>
    <r>
      <t xml:space="preserve">Кликните на </t>
    </r>
    <r>
      <rPr>
        <sz val="10"/>
        <color rgb="FF0F1115"/>
        <rFont val="Segoe UI"/>
        <family val="2"/>
        <charset val="204"/>
      </rPr>
      <t>первую пустую строку под шапкой таблицы</t>
    </r>
  </si>
  <si>
    <r>
      <t xml:space="preserve">Нажмите </t>
    </r>
    <r>
      <rPr>
        <sz val="9.6"/>
        <color rgb="FF0F1115"/>
        <rFont val="Consolas"/>
        <family val="3"/>
        <charset val="204"/>
      </rPr>
      <t>Ctrl + Shift + ↓</t>
    </r>
    <r>
      <rPr>
        <sz val="10"/>
        <color rgb="FF0F1115"/>
        <rFont val="Segoe UI"/>
        <family val="2"/>
        <charset val="204"/>
      </rPr>
      <t xml:space="preserve"> (выделит всё до конца)</t>
    </r>
  </si>
  <si>
    <t>Или протяните мышкой от первой строки данных до последней</t>
  </si>
  <si>
    <r>
      <t xml:space="preserve">3. Нажмите </t>
    </r>
    <r>
      <rPr>
        <sz val="10"/>
        <color rgb="FF0F1115"/>
        <rFont val="Segoe UI"/>
        <family val="2"/>
        <charset val="204"/>
      </rPr>
      <t>Delete</t>
    </r>
    <r>
      <rPr>
        <sz val="10"/>
        <color rgb="FF0F1115"/>
        <rFont val="Segoe UI"/>
        <family val="2"/>
        <charset val="204"/>
      </rPr>
      <t xml:space="preserve"> (или </t>
    </r>
    <r>
      <rPr>
        <sz val="9.6"/>
        <color rgb="FF0F1115"/>
        <rFont val="Consolas"/>
        <family val="3"/>
        <charset val="204"/>
      </rPr>
      <t>Del</t>
    </r>
    <r>
      <rPr>
        <sz val="10"/>
        <color rgb="FF0F1115"/>
        <rFont val="Segoe UI"/>
        <family val="2"/>
        <charset val="204"/>
      </rPr>
      <t>)</t>
    </r>
  </si>
  <si>
    <r>
      <t>4. Не удаляйте заголовки столбцов!</t>
    </r>
    <r>
      <rPr>
        <sz val="10"/>
        <color rgb="FF0F1115"/>
        <rFont val="Segoe UI"/>
        <family val="2"/>
        <charset val="204"/>
      </rPr>
      <t xml:space="preserve"> (Дата, Операции, Группа, Группа аналитическая, Сумма, Примечание)</t>
    </r>
  </si>
  <si>
    <r>
      <t>5. Не удаляйте саму таблицу!</t>
    </r>
    <r>
      <rPr>
        <sz val="10"/>
        <color rgb="FF0F1115"/>
        <rFont val="Segoe UI"/>
        <family val="2"/>
        <charset val="204"/>
      </rPr>
      <t xml:space="preserve"> — она должна остаться, просто пустая</t>
    </r>
  </si>
  <si>
    <r>
      <t xml:space="preserve">⚠️ </t>
    </r>
    <r>
      <rPr>
        <sz val="10"/>
        <color rgb="FF0F1115"/>
        <rFont val="Segoe UI"/>
        <family val="2"/>
        <charset val="204"/>
      </rPr>
      <t>Важно:</t>
    </r>
    <r>
      <rPr>
        <sz val="10"/>
        <color rgb="FF0F1115"/>
        <rFont val="Segoe UI"/>
        <family val="2"/>
        <charset val="204"/>
      </rPr>
      <t xml:space="preserve"> Если случайно удалили таблицу — отмените действие (</t>
    </r>
    <r>
      <rPr>
        <sz val="9.6"/>
        <color rgb="FF0F1115"/>
        <rFont val="Consolas"/>
        <family val="3"/>
        <charset val="204"/>
      </rPr>
      <t>Ctrl + Z</t>
    </r>
    <r>
      <rPr>
        <sz val="10"/>
        <color rgb="FF0F1115"/>
        <rFont val="Segoe UI"/>
        <family val="2"/>
        <charset val="204"/>
      </rPr>
      <t xml:space="preserve">) и попробуйте снова, выделяя </t>
    </r>
    <r>
      <rPr>
        <sz val="10"/>
        <color rgb="FF0F1115"/>
        <rFont val="Segoe UI"/>
        <family val="2"/>
        <charset val="204"/>
      </rPr>
      <t>только строки ниже заголовка</t>
    </r>
    <r>
      <rPr>
        <sz val="10"/>
        <color rgb="FF0F1115"/>
        <rFont val="Segoe UI"/>
        <family val="2"/>
        <charset val="204"/>
      </rPr>
      <t>.</t>
    </r>
  </si>
  <si>
    <t>ШАГ 3. Проверьте справочники (лист "Справочники")</t>
  </si>
  <si>
    <r>
      <t xml:space="preserve">Перейдите на лист </t>
    </r>
    <r>
      <rPr>
        <sz val="10"/>
        <color rgb="FF0F1115"/>
        <rFont val="Segoe UI"/>
        <family val="2"/>
        <charset val="204"/>
      </rPr>
      <t>"Справочники"</t>
    </r>
    <r>
      <rPr>
        <sz val="10"/>
        <color rgb="FF0F1115"/>
        <rFont val="Segoe UI"/>
        <family val="2"/>
        <charset val="204"/>
      </rPr>
      <t>. Там 4 умные таблицы:</t>
    </r>
  </si>
  <si>
    <t>Таблица</t>
  </si>
  <si>
    <t>Что содержит</t>
  </si>
  <si>
    <t>Список групп доходов (Зарплата, Премия, …)</t>
  </si>
  <si>
    <t>Список групп расходов (Продукты, Транспорт, …)</t>
  </si>
  <si>
    <t>Аналитические категории доходов</t>
  </si>
  <si>
    <t>Аналитические категории расходов</t>
  </si>
  <si>
    <t>Что можно сделать:</t>
  </si>
  <si>
    <r>
      <t xml:space="preserve">✅ </t>
    </r>
    <r>
      <rPr>
        <sz val="10"/>
        <color rgb="FF0F1115"/>
        <rFont val="Segoe UI"/>
        <family val="2"/>
        <charset val="204"/>
      </rPr>
      <t>Оставить как есть</t>
    </r>
    <r>
      <rPr>
        <sz val="10"/>
        <color rgb="FF0F1115"/>
        <rFont val="Segoe UI"/>
        <family val="2"/>
        <charset val="204"/>
      </rPr>
      <t xml:space="preserve"> — если списки вас устраивают</t>
    </r>
  </si>
  <si>
    <r>
      <t xml:space="preserve">✅ </t>
    </r>
    <r>
      <rPr>
        <sz val="10"/>
        <color rgb="FF0F1115"/>
        <rFont val="Segoe UI"/>
        <family val="2"/>
        <charset val="204"/>
      </rPr>
      <t>Добавить новые</t>
    </r>
    <r>
      <rPr>
        <sz val="10"/>
        <color rgb="FF0F1115"/>
        <rFont val="Segoe UI"/>
        <family val="2"/>
        <charset val="204"/>
      </rPr>
      <t xml:space="preserve"> — просто допишите строку в нужную таблицу (например, новую группу расходов "Питомцы")</t>
    </r>
  </si>
  <si>
    <r>
      <t xml:space="preserve">✅ </t>
    </r>
    <r>
      <rPr>
        <sz val="10"/>
        <color rgb="FF0F1115"/>
        <rFont val="Segoe UI"/>
        <family val="2"/>
        <charset val="204"/>
      </rPr>
      <t>Удалить лишние</t>
    </r>
    <r>
      <rPr>
        <sz val="10"/>
        <color rgb="FF0F1115"/>
        <rFont val="Segoe UI"/>
        <family val="2"/>
        <charset val="204"/>
      </rPr>
      <t xml:space="preserve"> — удалите строку с ненужной группой</t>
    </r>
  </si>
  <si>
    <r>
      <t xml:space="preserve">✅ </t>
    </r>
    <r>
      <rPr>
        <sz val="10"/>
        <color rgb="FF0F1115"/>
        <rFont val="Segoe UI"/>
        <family val="2"/>
        <charset val="204"/>
      </rPr>
      <t>Переименовать</t>
    </r>
    <r>
      <rPr>
        <sz val="10"/>
        <color rgb="FF0F1115"/>
        <rFont val="Segoe UI"/>
        <family val="2"/>
        <charset val="204"/>
      </rPr>
      <t xml:space="preserve"> — измените название группы прямо в ячейке</t>
    </r>
  </si>
  <si>
    <r>
      <t xml:space="preserve">💡 После добавления группы в справочник она </t>
    </r>
    <r>
      <rPr>
        <sz val="10"/>
        <color rgb="FF0F1115"/>
        <rFont val="Segoe UI"/>
        <family val="2"/>
        <charset val="204"/>
      </rPr>
      <t>автоматически появится</t>
    </r>
    <r>
      <rPr>
        <sz val="10"/>
        <color rgb="FF0F1115"/>
        <rFont val="Segoe UI"/>
        <family val="2"/>
        <charset val="204"/>
      </rPr>
      <t xml:space="preserve"> в выпадающем списке на листе "Данные".</t>
    </r>
  </si>
  <si>
    <r>
      <t xml:space="preserve">⚠️ </t>
    </r>
    <r>
      <rPr>
        <sz val="10"/>
        <color rgb="FF0F1115"/>
        <rFont val="Segoe UI"/>
        <family val="2"/>
        <charset val="204"/>
      </rPr>
      <t>Важно:</t>
    </r>
    <r>
      <rPr>
        <sz val="10"/>
        <color rgb="FF0F1115"/>
        <rFont val="Segoe UI"/>
        <family val="2"/>
        <charset val="204"/>
      </rPr>
      <t xml:space="preserve"> Не удаляйте сами таблицы и их заголовки — только строки внутри.</t>
    </r>
  </si>
  <si>
    <t>ШАГ 4. Внесите свои данные на лист "Данные"</t>
  </si>
  <si>
    <r>
      <t xml:space="preserve">Начните с </t>
    </r>
    <r>
      <rPr>
        <sz val="10"/>
        <color rgb="FF0F1115"/>
        <rFont val="Segoe UI"/>
        <family val="2"/>
        <charset val="204"/>
      </rPr>
      <t>первой пустой строки</t>
    </r>
    <r>
      <rPr>
        <sz val="10"/>
        <color rgb="FF0F1115"/>
        <rFont val="Segoe UI"/>
        <family val="2"/>
        <charset val="204"/>
      </rPr>
      <t xml:space="preserve"> под заголовком таблицы. Заполняйте по столбцам:</t>
    </r>
  </si>
  <si>
    <t>Столбец A — Дата</t>
  </si>
  <si>
    <r>
      <t xml:space="preserve">Введите дату операции. Формат: </t>
    </r>
    <r>
      <rPr>
        <sz val="9.6"/>
        <color rgb="FF0F1115"/>
        <rFont val="Consolas"/>
        <family val="3"/>
        <charset val="204"/>
      </rPr>
      <t>дд.мм.гггг</t>
    </r>
    <r>
      <rPr>
        <sz val="10"/>
        <color rgb="FF0F1115"/>
        <rFont val="Segoe UI"/>
        <family val="2"/>
        <charset val="204"/>
      </rPr>
      <t xml:space="preserve"> (например, </t>
    </r>
    <r>
      <rPr>
        <sz val="9.6"/>
        <color rgb="FF0F1115"/>
        <rFont val="Consolas"/>
        <family val="3"/>
        <charset val="204"/>
      </rPr>
      <t>15.01.2025</t>
    </r>
    <r>
      <rPr>
        <sz val="10"/>
        <color rgb="FF0F1115"/>
        <rFont val="Segoe UI"/>
        <family val="2"/>
        <charset val="204"/>
      </rPr>
      <t>) или выберите из календаря.</t>
    </r>
  </si>
  <si>
    <t>Столбец B — Операции</t>
  </si>
  <si>
    <r>
      <t xml:space="preserve">Нажмите на ячейку → появится </t>
    </r>
    <r>
      <rPr>
        <sz val="10"/>
        <color rgb="FF0F1115"/>
        <rFont val="Segoe UI"/>
        <family val="2"/>
        <charset val="204"/>
      </rPr>
      <t>стрелка выпадающего списка</t>
    </r>
    <r>
      <rPr>
        <sz val="10"/>
        <color rgb="FF0F1115"/>
        <rFont val="Segoe UI"/>
        <family val="2"/>
        <charset val="204"/>
      </rPr>
      <t xml:space="preserve"> → выберите:</t>
    </r>
  </si>
  <si>
    <r>
      <t>Приток</t>
    </r>
    <r>
      <rPr>
        <sz val="10"/>
        <color rgb="FF0F1115"/>
        <rFont val="Segoe UI"/>
        <family val="2"/>
        <charset val="204"/>
      </rPr>
      <t xml:space="preserve"> — если это доход</t>
    </r>
  </si>
  <si>
    <r>
      <t>Отток</t>
    </r>
    <r>
      <rPr>
        <sz val="10"/>
        <color rgb="FF0F1115"/>
        <rFont val="Segoe UI"/>
        <family val="2"/>
        <charset val="204"/>
      </rPr>
      <t xml:space="preserve"> — если это расход</t>
    </r>
  </si>
  <si>
    <t>Столбец C — Группа</t>
  </si>
  <si>
    <r>
      <t xml:space="preserve">После выбора операции нажмите на ячейку → в списке появятся </t>
    </r>
    <r>
      <rPr>
        <sz val="10"/>
        <color rgb="FF0F1115"/>
        <rFont val="Segoe UI"/>
        <family val="2"/>
        <charset val="204"/>
      </rPr>
      <t>только группы, подходящие по типу операции</t>
    </r>
    <r>
      <rPr>
        <sz val="10"/>
        <color rgb="FF0F1115"/>
        <rFont val="Segoe UI"/>
        <family val="2"/>
        <charset val="204"/>
      </rPr>
      <t>:</t>
    </r>
  </si>
  <si>
    <t>Выберите нужную группу.</t>
  </si>
  <si>
    <t>Столбец D — Группа аналитическая</t>
  </si>
  <si>
    <t>Аналогично — список зависит от выбранной операции:</t>
  </si>
  <si>
    <t>Выберите нужную аналитику.</t>
  </si>
  <si>
    <t>Столбец E — Сумма</t>
  </si>
  <si>
    <r>
      <t xml:space="preserve">Например: </t>
    </r>
    <r>
      <rPr>
        <sz val="9.6"/>
        <color rgb="FF0F1115"/>
        <rFont val="Consolas"/>
        <family val="3"/>
        <charset val="204"/>
      </rPr>
      <t>1500</t>
    </r>
    <r>
      <rPr>
        <sz val="10"/>
        <color rgb="FF0F1115"/>
        <rFont val="Segoe UI"/>
        <family val="2"/>
        <charset val="204"/>
      </rPr>
      <t xml:space="preserve"> или </t>
    </r>
    <r>
      <rPr>
        <sz val="9.6"/>
        <color rgb="FF0F1115"/>
        <rFont val="Consolas"/>
        <family val="3"/>
        <charset val="204"/>
      </rPr>
      <t>1500,50</t>
    </r>
  </si>
  <si>
    <r>
      <t>Столбец F — Примечание</t>
    </r>
    <r>
      <rPr>
        <sz val="10"/>
        <color rgb="FF0F1115"/>
        <rFont val="Segoe UI"/>
        <family val="2"/>
        <charset val="204"/>
      </rPr>
      <t xml:space="preserve"> (необязательно)</t>
    </r>
  </si>
  <si>
    <t>➕ Как добавить новую строку</t>
  </si>
  <si>
    <r>
      <t xml:space="preserve">Просто начните печатать в </t>
    </r>
    <r>
      <rPr>
        <sz val="10"/>
        <color rgb="FF0F1115"/>
        <rFont val="Segoe UI"/>
        <family val="2"/>
        <charset val="204"/>
      </rPr>
      <t>первой пустой строке под таблицей</t>
    </r>
    <r>
      <rPr>
        <sz val="10"/>
        <color rgb="FF0F1115"/>
        <rFont val="Segoe UI"/>
        <family val="2"/>
        <charset val="204"/>
      </rPr>
      <t xml:space="preserve"> — Excel автоматически:</t>
    </r>
  </si>
  <si>
    <t>Включит её в таблицу</t>
  </si>
  <si>
    <t>Скопирует проверку данных (выпадающие списки)</t>
  </si>
  <si>
    <t>Скопирует форматирование</t>
  </si>
  <si>
    <r>
      <t xml:space="preserve">💡 Если по какой-то причине выпадающие списки не появились в новой строке — потяните за </t>
    </r>
    <r>
      <rPr>
        <sz val="10"/>
        <color rgb="FF0F1115"/>
        <rFont val="Segoe UI"/>
        <family val="2"/>
        <charset val="204"/>
      </rPr>
      <t>уголок таблицы</t>
    </r>
    <r>
      <rPr>
        <sz val="10"/>
        <color rgb="FF0F1115"/>
        <rFont val="Segoe UI"/>
        <family val="2"/>
        <charset val="204"/>
      </rPr>
      <t xml:space="preserve"> вниз правой кнопкой → </t>
    </r>
    <r>
      <rPr>
        <sz val="10"/>
        <color rgb="FF0F1115"/>
        <rFont val="Segoe UI"/>
        <family val="2"/>
        <charset val="204"/>
      </rPr>
      <t>"Развернуть таблицу"</t>
    </r>
    <r>
      <rPr>
        <sz val="10"/>
        <color rgb="FF0F1115"/>
        <rFont val="Segoe UI"/>
        <family val="2"/>
        <charset val="204"/>
      </rPr>
      <t>. Или скопируйте последнюю заполненную строку и вставьте ниже.</t>
    </r>
  </si>
  <si>
    <t>ШАГ 5. Проверьте пример заполнения</t>
  </si>
  <si>
    <r>
      <t xml:space="preserve">Ниже — </t>
    </r>
    <r>
      <rPr>
        <sz val="10"/>
        <color rgb="FF0F1115"/>
        <rFont val="Segoe UI"/>
        <family val="2"/>
        <charset val="204"/>
      </rPr>
      <t>пример правильного заполнения</t>
    </r>
    <r>
      <rPr>
        <sz val="10"/>
        <color rgb="FF0F1115"/>
        <rFont val="Segoe UI"/>
        <family val="2"/>
        <charset val="204"/>
      </rPr>
      <t>:</t>
    </r>
  </si>
  <si>
    <t>Операции</t>
  </si>
  <si>
    <t>Зарплата за декабрь</t>
  </si>
  <si>
    <t>Закупка на неделю</t>
  </si>
  <si>
    <t>Бензин</t>
  </si>
  <si>
    <t>Премия</t>
  </si>
  <si>
    <t>Квартальная премия</t>
  </si>
  <si>
    <t>Развлечения</t>
  </si>
  <si>
    <t>Кино с семьёй</t>
  </si>
  <si>
    <r>
      <t xml:space="preserve">⚠️ </t>
    </r>
    <r>
      <rPr>
        <sz val="10"/>
        <color rgb="FF0F1115"/>
        <rFont val="Segoe UI"/>
        <family val="2"/>
        <charset val="204"/>
      </rPr>
      <t>Не меняйте порядок столбцов и их названия</t>
    </r>
    <r>
      <rPr>
        <sz val="10"/>
        <color rgb="FF0F1115"/>
        <rFont val="Segoe UI"/>
        <family val="2"/>
        <charset val="204"/>
      </rPr>
      <t xml:space="preserve"> — сводные таблицы на листе "Отчёт" привязаны к ним.</t>
    </r>
  </si>
  <si>
    <t>ШАГ 6. Обновите отчёты</t>
  </si>
  <si>
    <r>
      <t xml:space="preserve">После того как внесли данные, перейдите на лист </t>
    </r>
    <r>
      <rPr>
        <sz val="10"/>
        <color rgb="FF0F1115"/>
        <rFont val="Segoe UI"/>
        <family val="2"/>
        <charset val="204"/>
      </rPr>
      <t>"Отчёт"</t>
    </r>
    <r>
      <rPr>
        <sz val="10"/>
        <color rgb="FF0F1115"/>
        <rFont val="Segoe UI"/>
        <family val="2"/>
        <charset val="204"/>
      </rPr>
      <t>.</t>
    </r>
  </si>
  <si>
    <t>Как обновить сводные таблицы:</t>
  </si>
  <si>
    <t>На ПК (Windows):</t>
  </si>
  <si>
    <r>
      <t xml:space="preserve">1. Кликните правой кнопкой мыши на </t>
    </r>
    <r>
      <rPr>
        <sz val="10"/>
        <color rgb="FF0F1115"/>
        <rFont val="Segoe UI"/>
        <family val="2"/>
        <charset val="204"/>
      </rPr>
      <t>любую сводную таблицу</t>
    </r>
  </si>
  <si>
    <r>
      <t xml:space="preserve">2. Выберите </t>
    </r>
    <r>
      <rPr>
        <sz val="10"/>
        <color rgb="FF0F1115"/>
        <rFont val="Segoe UI"/>
        <family val="2"/>
        <charset val="204"/>
      </rPr>
      <t>"Обновить"</t>
    </r>
  </si>
  <si>
    <t>3. Повторите для каждой сводной таблицы</t>
  </si>
  <si>
    <t>На ПК (все таблицы сразу):</t>
  </si>
  <si>
    <r>
      <t xml:space="preserve">1. Нажмите </t>
    </r>
    <r>
      <rPr>
        <sz val="9.6"/>
        <color rgb="FF0F1115"/>
        <rFont val="Consolas"/>
        <family val="3"/>
        <charset val="204"/>
      </rPr>
      <t>Ctrl + Alt + F5</t>
    </r>
  </si>
  <si>
    <t>или</t>
  </si>
  <si>
    <t>2. Данные → Обновить всё</t>
  </si>
  <si>
    <t>В Excel Online:</t>
  </si>
  <si>
    <t>1. Кликните на сводную таблицу</t>
  </si>
  <si>
    <r>
      <t xml:space="preserve">2. Наверху появится вкладка </t>
    </r>
    <r>
      <rPr>
        <sz val="10"/>
        <color rgb="FF0F1115"/>
        <rFont val="Segoe UI"/>
        <family val="2"/>
        <charset val="204"/>
      </rPr>
      <t>"Сводная таблица"</t>
    </r>
    <r>
      <rPr>
        <sz val="10"/>
        <color rgb="FF0F1115"/>
        <rFont val="Segoe UI"/>
        <family val="2"/>
        <charset val="204"/>
      </rPr>
      <t xml:space="preserve"> → </t>
    </r>
    <r>
      <rPr>
        <sz val="10"/>
        <color rgb="FF0F1115"/>
        <rFont val="Segoe UI"/>
        <family val="2"/>
        <charset val="204"/>
      </rPr>
      <t>"Обновить"</t>
    </r>
  </si>
  <si>
    <t>Что вы увидите:</t>
  </si>
  <si>
    <t>Лист/График</t>
  </si>
  <si>
    <t>Что показывает</t>
  </si>
  <si>
    <t>Диаграмма доходов по группам</t>
  </si>
  <si>
    <t>Общая структура расходов</t>
  </si>
  <si>
    <t>Детализация расходов по группам</t>
  </si>
  <si>
    <r>
      <t xml:space="preserve">💡 Если графики не обновились сразу — обновите их вручную: клик по графику → </t>
    </r>
    <r>
      <rPr>
        <sz val="10"/>
        <color rgb="FF0F1115"/>
        <rFont val="Segoe UI"/>
        <family val="2"/>
        <charset val="204"/>
      </rPr>
      <t>"Обновить"</t>
    </r>
    <r>
      <rPr>
        <sz val="10"/>
        <color rgb="FF0F1115"/>
        <rFont val="Segoe UI"/>
        <family val="2"/>
        <charset val="204"/>
      </rPr>
      <t xml:space="preserve"> или </t>
    </r>
    <r>
      <rPr>
        <sz val="9.6"/>
        <color rgb="FF0F1115"/>
        <rFont val="Consolas"/>
        <family val="3"/>
        <charset val="204"/>
      </rPr>
      <t>F5</t>
    </r>
    <r>
      <rPr>
        <sz val="10"/>
        <color rgb="FF0F1115"/>
        <rFont val="Segoe UI"/>
        <family val="2"/>
        <charset val="204"/>
      </rPr>
      <t>.</t>
    </r>
  </si>
  <si>
    <t>ШАГ 7. Ежедневная работа с файлом</t>
  </si>
  <si>
    <t>Каждый раз, когда происходит операция:</t>
  </si>
  <si>
    <r>
      <t xml:space="preserve">2. Перейдите на лист </t>
    </r>
    <r>
      <rPr>
        <sz val="10"/>
        <color rgb="FF0F1115"/>
        <rFont val="Segoe UI"/>
        <family val="2"/>
        <charset val="204"/>
      </rPr>
      <t>"Данные"</t>
    </r>
  </si>
  <si>
    <t>3. Добавьте новую строку с операцией</t>
  </si>
  <si>
    <t>4. Заполните 5 столбцов (Дата, Операция, Группа, Аналитика, Сумма)</t>
  </si>
  <si>
    <r>
      <t xml:space="preserve">5. Перейдите на лист </t>
    </r>
    <r>
      <rPr>
        <sz val="10"/>
        <color rgb="FF0F1115"/>
        <rFont val="Segoe UI"/>
        <family val="2"/>
        <charset val="204"/>
      </rPr>
      <t>"Отчёт"</t>
    </r>
  </si>
  <si>
    <r>
      <t xml:space="preserve">6. Нажмите </t>
    </r>
    <r>
      <rPr>
        <sz val="10"/>
        <color rgb="FF0F1115"/>
        <rFont val="Segoe UI"/>
        <family val="2"/>
        <charset val="204"/>
      </rPr>
      <t>"Обновить всё"</t>
    </r>
    <r>
      <rPr>
        <sz val="10"/>
        <color rgb="FF0F1115"/>
        <rFont val="Segoe UI"/>
        <family val="2"/>
        <charset val="204"/>
      </rPr>
      <t xml:space="preserve"> (</t>
    </r>
    <r>
      <rPr>
        <sz val="9.6"/>
        <color rgb="FF0F1115"/>
        <rFont val="Consolas"/>
        <family val="3"/>
        <charset val="204"/>
      </rPr>
      <t>Ctrl + Alt + F5</t>
    </r>
    <r>
      <rPr>
        <sz val="10"/>
        <color rgb="FF0F1115"/>
        <rFont val="Segoe UI"/>
        <family val="2"/>
        <charset val="204"/>
      </rPr>
      <t>)</t>
    </r>
  </si>
  <si>
    <t>Готово! Отчёты и графики обновятся автоматически. ✅</t>
  </si>
  <si>
    <t>🛠️ Частые вопросы</t>
  </si>
  <si>
    <t>❓ Что делать, если в выпадающем списке нет нужной группы?</t>
  </si>
  <si>
    <r>
      <t xml:space="preserve">→ Перейдите на лист </t>
    </r>
    <r>
      <rPr>
        <sz val="10"/>
        <color rgb="FF0F1115"/>
        <rFont val="Segoe UI"/>
        <family val="2"/>
        <charset val="204"/>
      </rPr>
      <t>"Справочники"</t>
    </r>
    <r>
      <rPr>
        <sz val="10"/>
        <color rgb="FF0F1115"/>
        <rFont val="Segoe UI"/>
        <family val="2"/>
        <charset val="204"/>
      </rPr>
      <t xml:space="preserve">, найдите нужную таблицу и </t>
    </r>
    <r>
      <rPr>
        <sz val="10"/>
        <color rgb="FF0F1115"/>
        <rFont val="Segoe UI"/>
        <family val="2"/>
        <charset val="204"/>
      </rPr>
      <t>допишите строку</t>
    </r>
    <r>
      <rPr>
        <sz val="10"/>
        <color rgb="FF0F1115"/>
        <rFont val="Segoe UI"/>
        <family val="2"/>
        <charset val="204"/>
      </rPr>
      <t xml:space="preserve"> с новой группой. Вернитесь на "Данные" — группа появится в списке.</t>
    </r>
  </si>
  <si>
    <t>❓ Почему после смены операции старая группа осталась?</t>
  </si>
  <si>
    <r>
      <t xml:space="preserve">→ Это особенность Excel. </t>
    </r>
    <r>
      <rPr>
        <sz val="10"/>
        <color rgb="FF0F1115"/>
        <rFont val="Segoe UI"/>
        <family val="2"/>
        <charset val="204"/>
      </rPr>
      <t>Удалите вручную</t>
    </r>
    <r>
      <rPr>
        <sz val="10"/>
        <color rgb="FF0F1115"/>
        <rFont val="Segoe UI"/>
        <family val="2"/>
        <charset val="204"/>
      </rPr>
      <t xml:space="preserve"> старое значение в столбце "Группа" и выберите новое из обновлённого списка.</t>
    </r>
  </si>
  <si>
    <t>❓ Пропали выпадающие списки в новой строке</t>
  </si>
  <si>
    <r>
      <t xml:space="preserve">→ Проверьте, что таблица "Данные" </t>
    </r>
    <r>
      <rPr>
        <sz val="10"/>
        <color rgb="FF0F1115"/>
        <rFont val="Segoe UI"/>
        <family val="2"/>
        <charset val="204"/>
      </rPr>
      <t>включает эту строку</t>
    </r>
    <r>
      <rPr>
        <sz val="10"/>
        <color rgb="FF0F1115"/>
        <rFont val="Segoe UI"/>
        <family val="2"/>
        <charset val="204"/>
      </rPr>
      <t>. Если нет — потяните уголок таблицы или скопируйте формат из строки выше.</t>
    </r>
  </si>
  <si>
    <t>❓ Не обновляются сводные таблицы</t>
  </si>
  <si>
    <r>
      <t xml:space="preserve">→ Убедитесь, что вы нажали </t>
    </r>
    <r>
      <rPr>
        <sz val="10"/>
        <color rgb="FF0F1115"/>
        <rFont val="Segoe UI"/>
        <family val="2"/>
        <charset val="204"/>
      </rPr>
      <t>"Обновить"</t>
    </r>
    <r>
      <rPr>
        <sz val="10"/>
        <color rgb="FF0F1115"/>
        <rFont val="Segoe UI"/>
        <family val="2"/>
        <charset val="204"/>
      </rPr>
      <t xml:space="preserve"> на </t>
    </r>
    <r>
      <rPr>
        <sz val="10"/>
        <color rgb="FF0F1115"/>
        <rFont val="Segoe UI"/>
        <family val="2"/>
        <charset val="204"/>
      </rPr>
      <t>каждой</t>
    </r>
    <r>
      <rPr>
        <sz val="10"/>
        <color rgb="FF0F1115"/>
        <rFont val="Segoe UI"/>
        <family val="2"/>
        <charset val="204"/>
      </rPr>
      <t xml:space="preserve"> сводной таблице отдельно (или </t>
    </r>
    <r>
      <rPr>
        <sz val="9.6"/>
        <color rgb="FF0F1115"/>
        <rFont val="Consolas"/>
        <family val="3"/>
        <charset val="204"/>
      </rPr>
      <t>Ctrl + Alt + F5</t>
    </r>
    <r>
      <rPr>
        <sz val="10"/>
        <color rgb="FF0F1115"/>
        <rFont val="Segoe UI"/>
        <family val="2"/>
        <charset val="204"/>
      </rPr>
      <t>).</t>
    </r>
  </si>
  <si>
    <t>❓ Как добавить новую группу в отчёт?</t>
  </si>
  <si>
    <t>→ Никак вручную — отчёты строятся автоматически на основе данных. Просто добавьте операцию с новой группой на листе "Данные", и она появится в отчёте.</t>
  </si>
  <si>
    <t>❓ Как удалить одну операцию?</t>
  </si>
  <si>
    <r>
      <t xml:space="preserve">→ Найдите строку на листе "Данные" → правой кнопкой → </t>
    </r>
    <r>
      <rPr>
        <sz val="10"/>
        <color rgb="FF0F1115"/>
        <rFont val="Segoe UI"/>
        <family val="2"/>
        <charset val="204"/>
      </rPr>
      <t>"Удалить строки таблицы"</t>
    </r>
    <r>
      <rPr>
        <sz val="10"/>
        <color rgb="FF0F1115"/>
        <rFont val="Segoe UI"/>
        <family val="2"/>
        <charset val="204"/>
      </rPr>
      <t>. Таблица не сломается.</t>
    </r>
  </si>
  <si>
    <t>❓ Как начать всё заново?</t>
  </si>
  <si>
    <r>
      <t xml:space="preserve">→ Выделите все строки данных (без заголовка) → </t>
    </r>
    <r>
      <rPr>
        <sz val="9.6"/>
        <color rgb="FF0F1115"/>
        <rFont val="Consolas"/>
        <family val="3"/>
        <charset val="204"/>
      </rPr>
      <t>Delete</t>
    </r>
    <r>
      <rPr>
        <sz val="10"/>
        <color rgb="FF0F1115"/>
        <rFont val="Segoe UI"/>
        <family val="2"/>
        <charset val="204"/>
      </rPr>
      <t>. Сводные таблицы после обновления станут пустыми.</t>
    </r>
  </si>
  <si>
    <t>⚠️ ЧТО НЕЛЬЗЯ ДЕЛАТЬ</t>
  </si>
  <si>
    <t>❌ Нельзя</t>
  </si>
  <si>
    <t>Почему</t>
  </si>
  <si>
    <t>Удалять заголовки столбцов на листе "Данные"</t>
  </si>
  <si>
    <t>Сводные таблицы привязаны к названиям</t>
  </si>
  <si>
    <t>Менять порядок столбцов</t>
  </si>
  <si>
    <t>Сломаются сводные таблицы и формулы</t>
  </si>
  <si>
    <t>Превращать умную таблицу в обычный диапазон</t>
  </si>
  <si>
    <t>Пропадут выпадающие списки и авторасширение</t>
  </si>
  <si>
    <t>Удалять лист "Справочники" или его таблицы</t>
  </si>
  <si>
    <t>Не будут работать зависимые списки</t>
  </si>
  <si>
    <t>Переименовывать листы</t>
  </si>
  <si>
    <t>Сводные таблицы и формулы перестанут работать</t>
  </si>
  <si>
    <t>Вводить текст в столбец "Сумма"</t>
  </si>
  <si>
    <t>Сломается расчёт итогов</t>
  </si>
  <si>
    <t>💾 Сохранение файла</t>
  </si>
  <si>
    <r>
      <t>Excel Online</t>
    </r>
    <r>
      <rPr>
        <sz val="10"/>
        <color rgb="FF0F1115"/>
        <rFont val="Segoe UI"/>
        <family val="2"/>
        <charset val="204"/>
      </rPr>
      <t xml:space="preserve"> — сохраняется автоматически</t>
    </r>
  </si>
  <si>
    <r>
      <t>Excel на ПК</t>
    </r>
    <r>
      <rPr>
        <sz val="10"/>
        <color rgb="FF0F1115"/>
        <rFont val="Segoe UI"/>
        <family val="2"/>
        <charset val="204"/>
      </rPr>
      <t xml:space="preserve"> — </t>
    </r>
    <r>
      <rPr>
        <sz val="9.6"/>
        <color rgb="FF0F1115"/>
        <rFont val="Consolas"/>
        <family val="3"/>
        <charset val="204"/>
      </rPr>
      <t>Ctrl + S</t>
    </r>
    <r>
      <rPr>
        <sz val="10"/>
        <color rgb="FF0F1115"/>
        <rFont val="Segoe UI"/>
        <family val="2"/>
        <charset val="204"/>
      </rPr>
      <t xml:space="preserve">. Формат — </t>
    </r>
    <r>
      <rPr>
        <sz val="10"/>
        <color rgb="FF0F1115"/>
        <rFont val="Segoe UI"/>
        <family val="2"/>
        <charset val="204"/>
      </rPr>
      <t>.xlsx</t>
    </r>
    <r>
      <rPr>
        <sz val="10"/>
        <color rgb="FF0F1115"/>
        <rFont val="Segoe UI"/>
        <family val="2"/>
        <charset val="204"/>
      </rPr>
      <t xml:space="preserve"> (макросов в файле нет)</t>
    </r>
  </si>
  <si>
    <r>
      <t>Рекомендация:</t>
    </r>
    <r>
      <rPr>
        <sz val="10"/>
        <color rgb="FF0F1115"/>
        <rFont val="Segoe UI"/>
        <family val="2"/>
        <charset val="204"/>
      </rPr>
      <t xml:space="preserve"> делайте резервную копию раз в неделю — копируйте файл с датой в имени (</t>
    </r>
    <r>
      <rPr>
        <sz val="9.6"/>
        <color rgb="FF0F1115"/>
        <rFont val="Consolas"/>
        <family val="3"/>
        <charset val="204"/>
      </rPr>
      <t>Бюджет_2025-01-15.xlsx</t>
    </r>
    <r>
      <rPr>
        <sz val="10"/>
        <color rgb="FF0F1115"/>
        <rFont val="Segoe UI"/>
        <family val="2"/>
        <charset val="204"/>
      </rPr>
      <t>).</t>
    </r>
  </si>
  <si>
    <t>📞 Если что-то не работает</t>
  </si>
  <si>
    <r>
      <t xml:space="preserve">1. Проверьте, что вы </t>
    </r>
    <r>
      <rPr>
        <sz val="10"/>
        <color rgb="FF0F1115"/>
        <rFont val="Segoe UI"/>
        <family val="2"/>
        <charset val="204"/>
      </rPr>
      <t>не удалили</t>
    </r>
    <r>
      <rPr>
        <sz val="10"/>
        <color rgb="FF0F1115"/>
        <rFont val="Segoe UI"/>
        <family val="2"/>
        <charset val="204"/>
      </rPr>
      <t xml:space="preserve"> заголовки таблиц</t>
    </r>
  </si>
  <si>
    <r>
      <t xml:space="preserve">2. Убедитесь, что лист "Данные" — именно </t>
    </r>
    <r>
      <rPr>
        <sz val="10"/>
        <color rgb="FF0F1115"/>
        <rFont val="Segoe UI"/>
        <family val="2"/>
        <charset val="204"/>
      </rPr>
      <t>умная таблица</t>
    </r>
    <r>
      <rPr>
        <sz val="10"/>
        <color rgb="FF0F1115"/>
        <rFont val="Segoe UI"/>
        <family val="2"/>
        <charset val="204"/>
      </rPr>
      <t xml:space="preserve"> (при клике внутри появляется вкладка </t>
    </r>
    <r>
      <rPr>
        <sz val="10"/>
        <color rgb="FF0F1115"/>
        <rFont val="Segoe UI"/>
        <family val="2"/>
        <charset val="204"/>
      </rPr>
      <t>"Конструктор таблицы"</t>
    </r>
    <r>
      <rPr>
        <sz val="10"/>
        <color rgb="FF0F1115"/>
        <rFont val="Segoe UI"/>
        <family val="2"/>
        <charset val="204"/>
      </rPr>
      <t>)</t>
    </r>
  </si>
  <si>
    <r>
      <t xml:space="preserve">3. Проверьте </t>
    </r>
    <r>
      <rPr>
        <sz val="10"/>
        <color rgb="FF0F1115"/>
        <rFont val="Segoe UI"/>
        <family val="2"/>
        <charset val="204"/>
      </rPr>
      <t>Диспетчер имён</t>
    </r>
    <r>
      <rPr>
        <sz val="10"/>
        <color rgb="FF0F1115"/>
        <rFont val="Segoe UI"/>
        <family val="2"/>
        <charset val="204"/>
      </rPr>
      <t xml:space="preserve"> (Формулы → Диспетчер имён) — там должны быть имена: </t>
    </r>
    <r>
      <rPr>
        <sz val="9.6"/>
        <color rgb="FF0F1115"/>
        <rFont val="Consolas"/>
        <family val="3"/>
        <charset val="204"/>
      </rPr>
      <t>СписокОпераций</t>
    </r>
    <r>
      <rPr>
        <sz val="10"/>
        <color rgb="FF0F1115"/>
        <rFont val="Segoe UI"/>
        <family val="2"/>
        <charset val="204"/>
      </rPr>
      <t xml:space="preserve">, </t>
    </r>
    <r>
      <rPr>
        <sz val="9.6"/>
        <color rgb="FF0F1115"/>
        <rFont val="Consolas"/>
        <family val="3"/>
        <charset val="204"/>
      </rPr>
      <t>ГруппыПриток</t>
    </r>
    <r>
      <rPr>
        <sz val="10"/>
        <color rgb="FF0F1115"/>
        <rFont val="Segoe UI"/>
        <family val="2"/>
        <charset val="204"/>
      </rPr>
      <t xml:space="preserve">, </t>
    </r>
    <r>
      <rPr>
        <sz val="9.6"/>
        <color rgb="FF0F1115"/>
        <rFont val="Consolas"/>
        <family val="3"/>
        <charset val="204"/>
      </rPr>
      <t>ГруппыОтток</t>
    </r>
    <r>
      <rPr>
        <sz val="10"/>
        <color rgb="FF0F1115"/>
        <rFont val="Segoe UI"/>
        <family val="2"/>
        <charset val="204"/>
      </rPr>
      <t xml:space="preserve">, </t>
    </r>
    <r>
      <rPr>
        <sz val="9.6"/>
        <color rgb="FF0F1115"/>
        <rFont val="Consolas"/>
        <family val="3"/>
        <charset val="204"/>
      </rPr>
      <t>АналитикаПриток</t>
    </r>
    <r>
      <rPr>
        <sz val="10"/>
        <color rgb="FF0F1115"/>
        <rFont val="Segoe UI"/>
        <family val="2"/>
        <charset val="204"/>
      </rPr>
      <t xml:space="preserve">, </t>
    </r>
    <r>
      <rPr>
        <sz val="9.6"/>
        <color rgb="FF0F1115"/>
        <rFont val="Consolas"/>
        <family val="3"/>
        <charset val="204"/>
      </rPr>
      <t>АналитикаОтток</t>
    </r>
  </si>
  <si>
    <t>4. Если ничего не помогает — восстановите файл из резервной копии</t>
  </si>
  <si>
    <t>✅ Краткая шпаргалка</t>
  </si>
  <si>
    <t>text</t>
  </si>
  <si>
    <t>1. Копия файла           → Файл → Создать копию</t>
  </si>
  <si>
    <t>2. Очистить "Данные"     → выделить строки (не заголовок) → Delete</t>
  </si>
  <si>
    <t>3. Проверить "Справочники" → добавить/изменить группы по вкусу</t>
  </si>
  <si>
    <t>4. Внести операции       → заполнять построчно на листе "Данные"</t>
  </si>
  <si>
    <t>5. Обновить отчёты       → Ctrl + Alt + F5 на листе "Отчёт"</t>
  </si>
  <si>
    <t>6. Радоваться графикам   → 🎉</t>
  </si>
  <si>
    <r>
      <t>Удачной работы с семейным бюджетом!</t>
    </r>
    <r>
      <rPr>
        <sz val="10"/>
        <color rgb="FF0F1115"/>
        <rFont val="Segoe UI"/>
        <family val="2"/>
        <charset val="204"/>
      </rPr>
      <t xml:space="preserve"> 💰</t>
    </r>
  </si>
  <si>
    <t>Если появятся вопросы — просто напишите, и я помогу разобраться.</t>
  </si>
  <si>
    <t>Для "Приток" → Зарплата, Премия, Доход от вклада…</t>
  </si>
  <si>
    <t>Для "Отток" → Продукты, Транспорт, Жилье…</t>
  </si>
  <si>
    <t>Для "Приток" → Основной доход, Сбережения и инвестиции…</t>
  </si>
  <si>
    <t>Для "Отток" → Базовые расходы, Финансовые обязательства…</t>
  </si>
  <si>
    <t>Введите сумму в тенге (только число, без знака тг и пробелов).</t>
  </si>
  <si>
    <t>Любой текст — например, "Продукты в Магнуме" или "Зарплата за январь".</t>
  </si>
  <si>
    <t>График поступлений и расходов</t>
  </si>
  <si>
    <t>(несколько элементов)</t>
  </si>
  <si>
    <t>(пусто)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</si>
</sst>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0F1115"/>
      <name val="Consolas"/>
      <family val="3"/>
      <charset val="204"/>
    </font>
    <font>
      <b/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b/>
      <sz val="14"/>
      <color rgb="FF0F1115"/>
      <name val="Segoe UI"/>
      <family val="2"/>
      <charset val="204"/>
    </font>
    <font>
      <b/>
      <sz val="13"/>
      <color rgb="FF0F1115"/>
      <name val="Segoe UI"/>
      <family val="2"/>
      <charset val="204"/>
    </font>
    <font>
      <sz val="10"/>
      <color rgb="FF0F1115"/>
      <name val="Segoe UI"/>
      <family val="2"/>
      <charset val="204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b/>
      <sz val="12"/>
      <color rgb="FF0F1115"/>
      <name val="Segoe UI"/>
      <family val="2"/>
      <charset val="204"/>
    </font>
    <font>
      <sz val="9.6"/>
      <color rgb="FF0F1115"/>
      <name val="Consolas"/>
      <family val="3"/>
      <charset val="204"/>
    </font>
    <font>
      <b/>
      <sz val="10"/>
      <color rgb="FF0F1115"/>
      <name val="Segoe UI"/>
      <family val="2"/>
      <charset val="204"/>
    </font>
    <font>
      <i/>
      <sz val="10"/>
      <color rgb="FF0F1115"/>
      <name val="Segoe UI"/>
      <family val="2"/>
      <charset val="204"/>
    </font>
    <font>
      <sz val="7"/>
      <color rgb="FF0F1115"/>
      <name val="Consolas"/>
      <family val="3"/>
      <charset val="204"/>
    </font>
    <font>
      <b/>
      <sz val="9"/>
      <color theme="1"/>
      <name val="Segoe UI"/>
      <family val="2"/>
      <charset val="204"/>
    </font>
    <font>
      <b/>
      <sz val="9"/>
      <color theme="0" tint="-4.9989318521683403E-2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7" fillId="2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[budget_free_ru.xlsx]Отчет!СводнаяТаблица1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>
                <a:solidFill>
                  <a:schemeClr val="tx2"/>
                </a:solidFill>
              </a:rPr>
              <a:t>Движение денег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554567272432207"/>
          <c:y val="0.11046031055933961"/>
          <c:w val="0.76512088783194609"/>
          <c:h val="0.79245365241892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Отчет!$B$3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Отчет!$A$4</c:f>
              <c:strCache>
                <c:ptCount val="1"/>
                <c:pt idx="0">
                  <c:v>(пусто)</c:v>
                </c:pt>
              </c:strCache>
            </c:strRef>
          </c:cat>
          <c:val>
            <c:numRef>
              <c:f>Отчет!$B$4</c:f>
              <c:numCache>
                <c:formatCode>#,##0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34"/>
        <c:axId val="700045968"/>
        <c:axId val="700049888"/>
      </c:barChart>
      <c:catAx>
        <c:axId val="7000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049888"/>
        <c:crosses val="autoZero"/>
        <c:auto val="1"/>
        <c:lblAlgn val="ctr"/>
        <c:lblOffset val="100"/>
        <c:noMultiLvlLbl val="0"/>
      </c:catAx>
      <c:valAx>
        <c:axId val="7000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04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>
                <a:solidFill>
                  <a:schemeClr val="tx2"/>
                </a:solidFill>
              </a:rPr>
              <a:t>Остаток денег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3801129493644754"/>
          <c:y val="0.24290372650119244"/>
          <c:w val="0.7104905777227285"/>
          <c:h val="0.664400389037664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185654008438916E-2"/>
                  <c:y val="8.29869299332507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746835443037976"/>
                      <c:h val="0.1263113367174280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Отчет!$A$6</c:f>
              <c:strCache>
                <c:ptCount val="1"/>
                <c:pt idx="0">
                  <c:v>Остаток</c:v>
                </c:pt>
              </c:strCache>
            </c:strRef>
          </c:cat>
          <c:val>
            <c:numRef>
              <c:f>Отчет!$B$6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76"/>
        <c:axId val="700044792"/>
        <c:axId val="700045184"/>
      </c:barChart>
      <c:catAx>
        <c:axId val="70004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045184"/>
        <c:crosses val="autoZero"/>
        <c:auto val="1"/>
        <c:lblAlgn val="ctr"/>
        <c:lblOffset val="100"/>
        <c:noMultiLvlLbl val="0"/>
      </c:catAx>
      <c:valAx>
        <c:axId val="7000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04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[budget_free_ru.xlsx]Отчет!СводнаяТаблица4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>
                <a:solidFill>
                  <a:schemeClr val="tx2"/>
                </a:solidFill>
              </a:rPr>
              <a:t>Структура поступлений денег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Отчет!$B$13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Отчет!$A$14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Отчет!$B$14</c:f>
              <c:numCache>
                <c:formatCode>#,##0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46700752490578"/>
          <c:y val="0.19271336247379137"/>
          <c:w val="0.23918742613313687"/>
          <c:h val="9.7487684056823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[budget_free_ru.xlsx]Отчет!СводнаяТаблица5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>
                <a:solidFill>
                  <a:schemeClr val="tx2"/>
                </a:solidFill>
              </a:rPr>
              <a:t>Платежи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Отчет!$B$25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Отчет!$A$26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Отчет!$B$26</c:f>
              <c:numCache>
                <c:formatCode>#,##0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"/>
        <c:axId val="706058800"/>
        <c:axId val="706065072"/>
      </c:barChart>
      <c:catAx>
        <c:axId val="70605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065072"/>
        <c:crosses val="autoZero"/>
        <c:auto val="1"/>
        <c:lblAlgn val="ctr"/>
        <c:lblOffset val="100"/>
        <c:noMultiLvlLbl val="0"/>
      </c:catAx>
      <c:valAx>
        <c:axId val="7060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05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[budget_free_ru.xlsx]Отчет!СводнаяТаблица6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>
                <a:solidFill>
                  <a:schemeClr val="tx2"/>
                </a:solidFill>
              </a:rPr>
              <a:t>Группы</a:t>
            </a:r>
            <a:r>
              <a:rPr lang="ru-RU" sz="1100" b="1" baseline="0">
                <a:solidFill>
                  <a:schemeClr val="tx2"/>
                </a:solidFill>
              </a:rPr>
              <a:t> расходов</a:t>
            </a:r>
            <a:endParaRPr lang="ru-RU" sz="1100" b="1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Отчет!$B$41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Отчет!$A$42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Отчет!$B$42</c:f>
              <c:numCache>
                <c:formatCode>#,##0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06063896"/>
        <c:axId val="706063504"/>
      </c:barChart>
      <c:catAx>
        <c:axId val="70606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063504"/>
        <c:crosses val="autoZero"/>
        <c:auto val="1"/>
        <c:lblAlgn val="ctr"/>
        <c:lblOffset val="100"/>
        <c:noMultiLvlLbl val="0"/>
      </c:catAx>
      <c:valAx>
        <c:axId val="7060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063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2600325</xdr:colOff>
          <xdr:row>192</xdr:row>
          <xdr:rowOff>9525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118110</xdr:rowOff>
    </xdr:from>
    <xdr:to>
      <xdr:col>8</xdr:col>
      <xdr:colOff>152400</xdr:colOff>
      <xdr:row>7</xdr:row>
      <xdr:rowOff>1043940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1</xdr:row>
      <xdr:rowOff>121920</xdr:rowOff>
    </xdr:from>
    <xdr:to>
      <xdr:col>12</xdr:col>
      <xdr:colOff>259080</xdr:colOff>
      <xdr:row>7</xdr:row>
      <xdr:rowOff>1043940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468630</xdr:colOff>
      <xdr:row>9</xdr:row>
      <xdr:rowOff>26670</xdr:rowOff>
    </xdr:from>
    <xdr:to>
      <xdr:col>8</xdr:col>
      <xdr:colOff>205740</xdr:colOff>
      <xdr:row>19</xdr:row>
      <xdr:rowOff>15240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</xdr:colOff>
      <xdr:row>20</xdr:row>
      <xdr:rowOff>11430</xdr:rowOff>
    </xdr:from>
    <xdr:to>
      <xdr:col>15</xdr:col>
      <xdr:colOff>83820</xdr:colOff>
      <xdr:row>35</xdr:row>
      <xdr:rowOff>11430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468630</xdr:colOff>
      <xdr:row>35</xdr:row>
      <xdr:rowOff>171450</xdr:rowOff>
    </xdr:from>
    <xdr:to>
      <xdr:col>10</xdr:col>
      <xdr:colOff>300990</xdr:colOff>
      <xdr:row>49</xdr:row>
      <xdr:rowOff>64770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акен" refreshedDate="46286.598888657405" createdVersion="5" refreshedVersion="5" minRefreshableVersion="3" recordCount="1">
  <cacheSource type="worksheet">
    <worksheetSource name="Данные"/>
  </cacheSource>
  <cacheFields count="6">
    <cacheField name="Дата" numFmtId="14">
      <sharedItems containsNonDate="0" containsString="0" containsBlank="1"/>
    </cacheField>
    <cacheField name="Операция" numFmtId="0">
      <sharedItems containsNonDate="0" containsBlank="1" count="3">
        <m/>
        <s v="Отток" u="1"/>
        <s v="Приток" u="1"/>
      </sharedItems>
    </cacheField>
    <cacheField name="Группа" numFmtId="0">
      <sharedItems containsNonDate="0" containsBlank="1" count="6">
        <m/>
        <s v="Продукты" u="1"/>
        <s v="Транспорт" u="1"/>
        <s v="Зарплата" u="1"/>
        <s v="Здоровье" u="1"/>
        <s v="Жильё" u="1"/>
      </sharedItems>
    </cacheField>
    <cacheField name="Группа аналитическая" numFmtId="0">
      <sharedItems containsNonDate="0" containsBlank="1" count="4">
        <m/>
        <s v="Базовые расходы" u="1"/>
        <s v="Основной доход" u="1"/>
        <s v="Качественные расходы" u="1"/>
      </sharedItems>
    </cacheField>
    <cacheField name="Сумма" numFmtId="3">
      <sharedItems containsNonDate="0" containsString="0" containsBlank="1"/>
    </cacheField>
    <cacheField name="Примечание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6" cacheId="5" applyNumberFormats="0" applyBorderFormats="0" applyFontFormats="0" applyPatternFormats="0" applyAlignmentFormats="0" applyWidthHeightFormats="1" dataCaption="Значения" updatedVersion="5" minRefreshableVersion="3" itemPrintTitles="1" createdVersion="5" indent="0" outline="1" outlineData="1" multipleFieldFilters="0" chartFormat="1" rowHeaderCaption="Группа расходов">
  <location ref="A41:B42" firstHeaderRow="1" firstDataRow="1" firstDataCol="1" rowPageCount="1" colPageCount="1"/>
  <pivotFields count="6">
    <pivotField numFmtId="14" showAll="0"/>
    <pivotField axis="axisPage" multipleItemSelectionAllowed="1" showAll="0">
      <items count="4">
        <item m="1" x="1"/>
        <item h="1" m="1" x="2"/>
        <item h="1" x="0"/>
        <item t="default"/>
      </items>
    </pivotField>
    <pivotField showAll="0"/>
    <pivotField axis="axisRow" showAll="0">
      <items count="5">
        <item m="1" x="1"/>
        <item m="1" x="2"/>
        <item m="1" x="3"/>
        <item x="0"/>
        <item t="default"/>
      </items>
    </pivotField>
    <pivotField dataField="1" numFmtId="3" showAll="0"/>
    <pivotField showAll="0"/>
  </pivotFields>
  <rowFields count="1">
    <field x="3"/>
  </rowFields>
  <rowItems count="1">
    <i t="grand">
      <x/>
    </i>
  </rowItems>
  <colItems count="1">
    <i/>
  </colItems>
  <pageFields count="1">
    <pageField fld="1" hier="-1"/>
  </pageFields>
  <dataFields count="1">
    <dataField name="Сумма, тг" fld="4" baseField="3" baseItem="0" numFmtId="3"/>
  </dataFields>
  <formats count="4">
    <format dxfId="8">
      <pivotArea field="3" type="button" dataOnly="0" labelOnly="1" outline="0" axis="axisRow" fieldPosition="0"/>
    </format>
    <format dxfId="7">
      <pivotArea dataOnly="0" labelOnly="1" outline="0" axis="axisValues" fieldPosition="0"/>
    </format>
    <format dxfId="6">
      <pivotArea field="3" type="button" dataOnly="0" labelOnly="1" outline="0" axis="axisRow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5" cacheId="5" applyNumberFormats="0" applyBorderFormats="0" applyFontFormats="0" applyPatternFormats="0" applyAlignmentFormats="0" applyWidthHeightFormats="1" dataCaption="Значения" updatedVersion="5" minRefreshableVersion="3" itemPrintTitles="1" createdVersion="5" indent="0" outline="1" outlineData="1" multipleFieldFilters="0" chartFormat="1" rowHeaderCaption="Расходы">
  <location ref="A25:B26" firstHeaderRow="1" firstDataRow="1" firstDataCol="1" rowPageCount="1" colPageCount="1"/>
  <pivotFields count="6">
    <pivotField numFmtId="14" showAll="0"/>
    <pivotField axis="axisPage" multipleItemSelectionAllowed="1" showAll="0">
      <items count="4">
        <item m="1" x="1"/>
        <item h="1" m="1" x="2"/>
        <item h="1" x="0"/>
        <item t="default"/>
      </items>
    </pivotField>
    <pivotField axis="axisRow" showAll="0" sortType="descending">
      <items count="7">
        <item m="1" x="5"/>
        <item m="1" x="3"/>
        <item m="1" x="1"/>
        <item m="1" x="2"/>
        <item m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1" hier="-1"/>
  </pageFields>
  <dataFields count="1">
    <dataField name="Сумма, тг" fld="4" baseField="2" baseItem="5" numFmtId="3"/>
  </dataFields>
  <formats count="4">
    <format dxfId="12">
      <pivotArea field="2" type="button" dataOnly="0" labelOnly="1" outline="0" axis="axisRow" fieldPosition="0"/>
    </format>
    <format dxfId="11">
      <pivotArea dataOnly="0" labelOnly="1" outline="0" axis="axisValues" fieldPosition="0"/>
    </format>
    <format dxfId="10">
      <pivotArea field="2" type="button" dataOnly="0" labelOnly="1" outline="0" axis="axisRow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4" cacheId="5" applyNumberFormats="0" applyBorderFormats="0" applyFontFormats="0" applyPatternFormats="0" applyAlignmentFormats="0" applyWidthHeightFormats="1" dataCaption="Значения" updatedVersion="5" minRefreshableVersion="3" itemPrintTitles="1" createdVersion="5" indent="0" outline="1" outlineData="1" multipleFieldFilters="0" chartFormat="1" rowHeaderCaption="Поступление денег">
  <location ref="A13:B14" firstHeaderRow="1" firstDataRow="1" firstDataCol="1" rowPageCount="1" colPageCount="1"/>
  <pivotFields count="6">
    <pivotField numFmtId="14" showAll="0"/>
    <pivotField axis="axisPage" multipleItemSelectionAllowed="1" showAll="0">
      <items count="4">
        <item h="1" m="1" x="1"/>
        <item m="1" x="2"/>
        <item h="1" x="0"/>
        <item t="default"/>
      </items>
    </pivotField>
    <pivotField axis="axisRow" showAll="0" sortType="descending">
      <items count="7">
        <item m="1" x="5"/>
        <item m="1" x="3"/>
        <item m="1" x="1"/>
        <item m="1" x="2"/>
        <item m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1" hier="-1"/>
  </pageFields>
  <dataFields count="1">
    <dataField name="Сумма, тг" fld="4" baseField="2" baseItem="0" numFmtId="3"/>
  </dataFields>
  <formats count="4">
    <format dxfId="16">
      <pivotArea field="2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2" type="button" dataOnly="0" labelOnly="1" outline="0" axis="axisRow" fieldPosition="0"/>
    </format>
    <format dxfId="1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5" minRefreshableVersion="3" rowGrandTotals="0" colGrandTotals="0" itemPrintTitles="1" createdVersion="5" indent="0" outline="1" outlineData="1" multipleFieldFilters="0" chartFormat="3" rowHeaderCaption="Движение денег">
  <location ref="A3:B4" firstHeaderRow="1" firstDataRow="1" firstDataCol="1"/>
  <pivotFields count="6">
    <pivotField numFmtId="14" showAll="0" defaultSubtotal="0"/>
    <pivotField axis="axisRow" showAll="0" sortType="descending" defaultSubtotal="0">
      <items count="3">
        <item m="1" x="1"/>
        <item m="1"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numFmtId="3" showAll="0" defaultSubtotal="0"/>
    <pivotField showAll="0" defaultSubtotal="0"/>
  </pivotFields>
  <rowFields count="1">
    <field x="1"/>
  </rowFields>
  <rowItems count="1">
    <i>
      <x v="2"/>
    </i>
  </rowItems>
  <colItems count="1">
    <i/>
  </colItems>
  <dataFields count="1">
    <dataField name="Сумма, тг" fld="4" baseField="1" baseItem="0" numFmtId="3"/>
  </dataFields>
  <formats count="4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Данные" displayName="Данные" ref="A1:F2" insertRow="1" totalsRowShown="0" headerRowDxfId="22">
  <autoFilter ref="A1:F2"/>
  <tableColumns count="6">
    <tableColumn id="1" name="Дата"/>
    <tableColumn id="2" name="Операция"/>
    <tableColumn id="3" name="Группа"/>
    <tableColumn id="4" name="Группа аналитическая"/>
    <tableColumn id="5" name="Сумма" dataDxfId="21"/>
    <tableColumn id="7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ГруппыПриток" displayName="ГруппыПриток" ref="A1:A7" totalsRowShown="0" headerRowDxfId="4">
  <autoFilter ref="A1:A7"/>
  <tableColumns count="1">
    <tableColumn id="2" name="Группы прито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ГруппаОтток" displayName="ГруппаОтток" ref="C1:C13" totalsRowShown="0" headerRowDxfId="3">
  <autoFilter ref="C1:C13"/>
  <tableColumns count="1">
    <tableColumn id="2" name="Группы отто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АналитикаПриток" displayName="АналитикаПриток" ref="E1:E6" totalsRowShown="0" headerRowDxfId="2">
  <autoFilter ref="E1:E6"/>
  <tableColumns count="1">
    <tableColumn id="2" name="Аналитика прито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АналитикаОтток" displayName="АналитикаОтток" ref="G1:G6" totalsRowShown="0" headerRowDxfId="1">
  <autoFilter ref="G1:G6"/>
  <tableColumns count="1">
    <tableColumn id="2" name="Аналитика отто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Операция" displayName="Операция" ref="I1:I3" totalsRowShown="0" headerRowDxfId="0">
  <autoFilter ref="I1:I3"/>
  <tableColumns count="1">
    <tableColumn id="1" name="Опер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2:F189"/>
  <sheetViews>
    <sheetView workbookViewId="0">
      <selection activeCell="A12" sqref="A12"/>
    </sheetView>
  </sheetViews>
  <sheetFormatPr defaultRowHeight="15" x14ac:dyDescent="0.25"/>
  <cols>
    <col min="1" max="1" width="94.42578125" style="10" customWidth="1"/>
    <col min="2" max="2" width="26.5703125" style="9" customWidth="1"/>
    <col min="3" max="3" width="18" customWidth="1"/>
    <col min="4" max="4" width="17.85546875" customWidth="1"/>
    <col min="5" max="5" width="9.85546875" style="5" customWidth="1"/>
    <col min="6" max="6" width="16.42578125" customWidth="1"/>
  </cols>
  <sheetData>
    <row r="2" spans="1:2" ht="20.25" x14ac:dyDescent="0.25">
      <c r="A2" s="11" t="s">
        <v>43</v>
      </c>
    </row>
    <row r="3" spans="1:2" ht="18.75" x14ac:dyDescent="0.25">
      <c r="A3" s="12" t="s">
        <v>44</v>
      </c>
    </row>
    <row r="5" spans="1:2" ht="18.75" x14ac:dyDescent="0.25">
      <c r="A5" s="12" t="s">
        <v>45</v>
      </c>
    </row>
    <row r="6" spans="1:2" x14ac:dyDescent="0.25">
      <c r="A6" s="13" t="s">
        <v>46</v>
      </c>
    </row>
    <row r="7" spans="1:2" x14ac:dyDescent="0.25">
      <c r="A7" s="18" t="s">
        <v>47</v>
      </c>
    </row>
    <row r="8" spans="1:2" x14ac:dyDescent="0.25">
      <c r="A8" s="18" t="s">
        <v>48</v>
      </c>
    </row>
    <row r="9" spans="1:2" x14ac:dyDescent="0.25">
      <c r="A9" s="18" t="s">
        <v>49</v>
      </c>
    </row>
    <row r="10" spans="1:2" x14ac:dyDescent="0.25">
      <c r="A10" s="18" t="s">
        <v>50</v>
      </c>
    </row>
    <row r="11" spans="1:2" ht="28.5" x14ac:dyDescent="0.25">
      <c r="A11" s="14" t="s">
        <v>51</v>
      </c>
    </row>
    <row r="13" spans="1:2" ht="18.75" x14ac:dyDescent="0.25">
      <c r="A13" s="12" t="s">
        <v>52</v>
      </c>
    </row>
    <row r="14" spans="1:2" x14ac:dyDescent="0.25">
      <c r="A14" s="24" t="s">
        <v>53</v>
      </c>
      <c r="B14" s="24" t="s">
        <v>54</v>
      </c>
    </row>
    <row r="15" spans="1:2" x14ac:dyDescent="0.25">
      <c r="A15" s="25" t="s">
        <v>55</v>
      </c>
      <c r="B15" s="26" t="s">
        <v>56</v>
      </c>
    </row>
    <row r="16" spans="1:2" ht="24" x14ac:dyDescent="0.25">
      <c r="A16" s="25" t="s">
        <v>57</v>
      </c>
      <c r="B16" s="26" t="s">
        <v>58</v>
      </c>
    </row>
    <row r="17" spans="1:2" ht="24" x14ac:dyDescent="0.25">
      <c r="A17" s="25" t="s">
        <v>59</v>
      </c>
      <c r="B17" s="26" t="s">
        <v>60</v>
      </c>
    </row>
    <row r="18" spans="1:2" ht="24" x14ac:dyDescent="0.25">
      <c r="A18" s="25" t="s">
        <v>61</v>
      </c>
      <c r="B18" s="26" t="s">
        <v>62</v>
      </c>
    </row>
    <row r="20" spans="1:2" ht="18.75" x14ac:dyDescent="0.25">
      <c r="A20" s="12" t="s">
        <v>63</v>
      </c>
    </row>
    <row r="22" spans="1:2" ht="17.25" x14ac:dyDescent="0.25">
      <c r="A22" s="15" t="s">
        <v>64</v>
      </c>
    </row>
    <row r="23" spans="1:2" x14ac:dyDescent="0.25">
      <c r="A23" s="13" t="s">
        <v>65</v>
      </c>
    </row>
    <row r="24" spans="1:2" x14ac:dyDescent="0.25">
      <c r="A24" s="18" t="s">
        <v>66</v>
      </c>
    </row>
    <row r="25" spans="1:2" x14ac:dyDescent="0.25">
      <c r="A25" s="20" t="s">
        <v>67</v>
      </c>
    </row>
    <row r="26" spans="1:2" x14ac:dyDescent="0.25">
      <c r="A26" s="18" t="s">
        <v>68</v>
      </c>
    </row>
    <row r="27" spans="1:2" x14ac:dyDescent="0.25">
      <c r="A27" s="18" t="s">
        <v>69</v>
      </c>
    </row>
    <row r="29" spans="1:2" ht="17.25" x14ac:dyDescent="0.25">
      <c r="A29" s="15" t="s">
        <v>70</v>
      </c>
    </row>
    <row r="30" spans="1:2" x14ac:dyDescent="0.25">
      <c r="A30" s="18" t="s">
        <v>71</v>
      </c>
    </row>
    <row r="31" spans="1:2" x14ac:dyDescent="0.25">
      <c r="A31" s="18" t="s">
        <v>72</v>
      </c>
    </row>
    <row r="32" spans="1:2" x14ac:dyDescent="0.25">
      <c r="A32" s="18"/>
    </row>
    <row r="33" spans="1:5" x14ac:dyDescent="0.25">
      <c r="A33" s="18" t="s">
        <v>73</v>
      </c>
    </row>
    <row r="34" spans="1:5" x14ac:dyDescent="0.25">
      <c r="A34" s="18" t="s">
        <v>74</v>
      </c>
    </row>
    <row r="35" spans="1:5" x14ac:dyDescent="0.25">
      <c r="A35" s="18" t="s">
        <v>75</v>
      </c>
    </row>
    <row r="36" spans="1:5" x14ac:dyDescent="0.25">
      <c r="A36" s="18" t="s">
        <v>76</v>
      </c>
    </row>
    <row r="37" spans="1:5" ht="28.5" x14ac:dyDescent="0.25">
      <c r="A37" s="20" t="s">
        <v>77</v>
      </c>
    </row>
    <row r="38" spans="1:5" x14ac:dyDescent="0.25">
      <c r="A38" s="20" t="s">
        <v>78</v>
      </c>
    </row>
    <row r="39" spans="1:5" ht="28.5" x14ac:dyDescent="0.25">
      <c r="A39" s="18" t="s">
        <v>79</v>
      </c>
    </row>
    <row r="41" spans="1:5" ht="17.25" x14ac:dyDescent="0.25">
      <c r="A41" s="15" t="s">
        <v>80</v>
      </c>
    </row>
    <row r="42" spans="1:5" x14ac:dyDescent="0.25">
      <c r="A42" s="13" t="s">
        <v>81</v>
      </c>
    </row>
    <row r="43" spans="1:5" s="28" customFormat="1" x14ac:dyDescent="0.25">
      <c r="A43" s="27" t="s">
        <v>82</v>
      </c>
      <c r="B43" s="27" t="s">
        <v>83</v>
      </c>
      <c r="E43" s="32"/>
    </row>
    <row r="44" spans="1:5" ht="24" x14ac:dyDescent="0.25">
      <c r="A44" s="25" t="s">
        <v>30</v>
      </c>
      <c r="B44" s="26" t="s">
        <v>84</v>
      </c>
    </row>
    <row r="45" spans="1:5" ht="24" x14ac:dyDescent="0.25">
      <c r="A45" s="25" t="s">
        <v>31</v>
      </c>
      <c r="B45" s="26" t="s">
        <v>85</v>
      </c>
    </row>
    <row r="46" spans="1:5" ht="24" x14ac:dyDescent="0.25">
      <c r="A46" s="25" t="s">
        <v>32</v>
      </c>
      <c r="B46" s="26" t="s">
        <v>86</v>
      </c>
    </row>
    <row r="47" spans="1:5" ht="24" x14ac:dyDescent="0.25">
      <c r="A47" s="25" t="s">
        <v>33</v>
      </c>
      <c r="B47" s="26" t="s">
        <v>87</v>
      </c>
    </row>
    <row r="48" spans="1:5" x14ac:dyDescent="0.25">
      <c r="A48" s="14" t="s">
        <v>88</v>
      </c>
    </row>
    <row r="49" spans="1:1" x14ac:dyDescent="0.25">
      <c r="A49" s="13" t="s">
        <v>89</v>
      </c>
    </row>
    <row r="50" spans="1:1" ht="28.5" x14ac:dyDescent="0.25">
      <c r="A50" s="13" t="s">
        <v>90</v>
      </c>
    </row>
    <row r="51" spans="1:1" x14ac:dyDescent="0.25">
      <c r="A51" s="13" t="s">
        <v>91</v>
      </c>
    </row>
    <row r="52" spans="1:1" x14ac:dyDescent="0.25">
      <c r="A52" s="13" t="s">
        <v>92</v>
      </c>
    </row>
    <row r="53" spans="1:1" ht="28.5" x14ac:dyDescent="0.25">
      <c r="A53" s="18" t="s">
        <v>93</v>
      </c>
    </row>
    <row r="54" spans="1:1" x14ac:dyDescent="0.25">
      <c r="A54" s="18" t="s">
        <v>94</v>
      </c>
    </row>
    <row r="56" spans="1:1" ht="17.25" x14ac:dyDescent="0.25">
      <c r="A56" s="15" t="s">
        <v>95</v>
      </c>
    </row>
    <row r="57" spans="1:1" x14ac:dyDescent="0.25">
      <c r="A57" s="13" t="s">
        <v>96</v>
      </c>
    </row>
    <row r="58" spans="1:1" x14ac:dyDescent="0.25">
      <c r="A58" s="16" t="s">
        <v>97</v>
      </c>
    </row>
    <row r="59" spans="1:1" x14ac:dyDescent="0.25">
      <c r="A59" s="13" t="s">
        <v>98</v>
      </c>
    </row>
    <row r="60" spans="1:1" x14ac:dyDescent="0.25">
      <c r="A60" s="16" t="s">
        <v>99</v>
      </c>
    </row>
    <row r="61" spans="1:1" x14ac:dyDescent="0.25">
      <c r="A61" s="13" t="s">
        <v>100</v>
      </c>
    </row>
    <row r="62" spans="1:1" x14ac:dyDescent="0.25">
      <c r="A62" s="20" t="s">
        <v>101</v>
      </c>
    </row>
    <row r="63" spans="1:1" x14ac:dyDescent="0.25">
      <c r="A63" s="20" t="s">
        <v>102</v>
      </c>
    </row>
    <row r="64" spans="1:1" x14ac:dyDescent="0.25">
      <c r="A64" s="16" t="s">
        <v>103</v>
      </c>
    </row>
    <row r="65" spans="1:1" ht="28.5" x14ac:dyDescent="0.25">
      <c r="A65" s="13" t="s">
        <v>104</v>
      </c>
    </row>
    <row r="66" spans="1:1" x14ac:dyDescent="0.25">
      <c r="A66" s="18" t="s">
        <v>207</v>
      </c>
    </row>
    <row r="67" spans="1:1" x14ac:dyDescent="0.25">
      <c r="A67" s="18" t="s">
        <v>208</v>
      </c>
    </row>
    <row r="68" spans="1:1" x14ac:dyDescent="0.25">
      <c r="A68" s="13" t="s">
        <v>105</v>
      </c>
    </row>
    <row r="69" spans="1:1" x14ac:dyDescent="0.25">
      <c r="A69" s="16" t="s">
        <v>106</v>
      </c>
    </row>
    <row r="70" spans="1:1" x14ac:dyDescent="0.25">
      <c r="A70" s="13" t="s">
        <v>107</v>
      </c>
    </row>
    <row r="71" spans="1:1" x14ac:dyDescent="0.25">
      <c r="A71" s="18" t="s">
        <v>209</v>
      </c>
    </row>
    <row r="72" spans="1:1" x14ac:dyDescent="0.25">
      <c r="A72" s="18" t="s">
        <v>210</v>
      </c>
    </row>
    <row r="73" spans="1:1" x14ac:dyDescent="0.25">
      <c r="A73" s="13" t="s">
        <v>108</v>
      </c>
    </row>
    <row r="74" spans="1:1" x14ac:dyDescent="0.25">
      <c r="A74" s="16" t="s">
        <v>109</v>
      </c>
    </row>
    <row r="75" spans="1:1" x14ac:dyDescent="0.25">
      <c r="A75" s="13" t="s">
        <v>211</v>
      </c>
    </row>
    <row r="76" spans="1:1" x14ac:dyDescent="0.25">
      <c r="A76" s="13" t="s">
        <v>110</v>
      </c>
    </row>
    <row r="77" spans="1:1" x14ac:dyDescent="0.25">
      <c r="A77" s="16" t="s">
        <v>111</v>
      </c>
    </row>
    <row r="78" spans="1:1" x14ac:dyDescent="0.25">
      <c r="A78" s="13" t="s">
        <v>212</v>
      </c>
    </row>
    <row r="79" spans="1:1" x14ac:dyDescent="0.25">
      <c r="A79" s="16" t="s">
        <v>112</v>
      </c>
    </row>
    <row r="80" spans="1:1" x14ac:dyDescent="0.25">
      <c r="A80" s="13" t="s">
        <v>113</v>
      </c>
    </row>
    <row r="81" spans="1:6" x14ac:dyDescent="0.25">
      <c r="A81" s="18" t="s">
        <v>114</v>
      </c>
    </row>
    <row r="82" spans="1:6" x14ac:dyDescent="0.25">
      <c r="A82" s="18" t="s">
        <v>115</v>
      </c>
    </row>
    <row r="83" spans="1:6" x14ac:dyDescent="0.25">
      <c r="A83" s="18" t="s">
        <v>116</v>
      </c>
    </row>
    <row r="84" spans="1:6" ht="42.75" x14ac:dyDescent="0.25">
      <c r="A84" s="18" t="s">
        <v>117</v>
      </c>
    </row>
    <row r="86" spans="1:6" ht="17.25" x14ac:dyDescent="0.25">
      <c r="A86" s="15" t="s">
        <v>118</v>
      </c>
    </row>
    <row r="87" spans="1:6" x14ac:dyDescent="0.25">
      <c r="A87" s="13" t="s">
        <v>119</v>
      </c>
    </row>
    <row r="88" spans="1:6" s="28" customFormat="1" ht="24" x14ac:dyDescent="0.25">
      <c r="A88" s="31" t="s">
        <v>0</v>
      </c>
      <c r="B88" s="31" t="s">
        <v>120</v>
      </c>
      <c r="C88" s="31" t="s">
        <v>2</v>
      </c>
      <c r="D88" s="31" t="s">
        <v>3</v>
      </c>
      <c r="E88" s="33" t="s">
        <v>4</v>
      </c>
      <c r="F88" s="31" t="s">
        <v>5</v>
      </c>
    </row>
    <row r="89" spans="1:6" ht="24" x14ac:dyDescent="0.25">
      <c r="A89" s="29">
        <v>45662</v>
      </c>
      <c r="B89" s="26" t="s">
        <v>6</v>
      </c>
      <c r="C89" s="30" t="s">
        <v>12</v>
      </c>
      <c r="D89" s="30" t="s">
        <v>34</v>
      </c>
      <c r="E89" s="34">
        <v>85000</v>
      </c>
      <c r="F89" s="30" t="s">
        <v>121</v>
      </c>
    </row>
    <row r="90" spans="1:6" ht="24" x14ac:dyDescent="0.25">
      <c r="A90" s="29">
        <v>45663</v>
      </c>
      <c r="B90" s="26" t="s">
        <v>8</v>
      </c>
      <c r="C90" s="30" t="s">
        <v>27</v>
      </c>
      <c r="D90" s="30" t="s">
        <v>11</v>
      </c>
      <c r="E90" s="34">
        <v>5200</v>
      </c>
      <c r="F90" s="30" t="s">
        <v>122</v>
      </c>
    </row>
    <row r="91" spans="1:6" x14ac:dyDescent="0.25">
      <c r="A91" s="29">
        <v>45664</v>
      </c>
      <c r="B91" s="26" t="s">
        <v>8</v>
      </c>
      <c r="C91" s="30" t="s">
        <v>29</v>
      </c>
      <c r="D91" s="30" t="s">
        <v>11</v>
      </c>
      <c r="E91" s="34">
        <v>1500</v>
      </c>
      <c r="F91" s="30" t="s">
        <v>123</v>
      </c>
    </row>
    <row r="92" spans="1:6" ht="24" x14ac:dyDescent="0.25">
      <c r="A92" s="29">
        <v>45667</v>
      </c>
      <c r="B92" s="26" t="s">
        <v>6</v>
      </c>
      <c r="C92" s="30" t="s">
        <v>124</v>
      </c>
      <c r="D92" s="30" t="s">
        <v>35</v>
      </c>
      <c r="E92" s="34">
        <v>15000</v>
      </c>
      <c r="F92" s="30" t="s">
        <v>125</v>
      </c>
    </row>
    <row r="93" spans="1:6" ht="24" x14ac:dyDescent="0.25">
      <c r="A93" s="29">
        <v>45669</v>
      </c>
      <c r="B93" s="26" t="s">
        <v>8</v>
      </c>
      <c r="C93" s="30" t="s">
        <v>126</v>
      </c>
      <c r="D93" s="30" t="s">
        <v>15</v>
      </c>
      <c r="E93" s="34">
        <v>3000</v>
      </c>
      <c r="F93" s="30" t="s">
        <v>127</v>
      </c>
    </row>
    <row r="94" spans="1:6" x14ac:dyDescent="0.25">
      <c r="A94" s="18" t="s">
        <v>128</v>
      </c>
    </row>
    <row r="96" spans="1:6" ht="17.25" x14ac:dyDescent="0.25">
      <c r="A96" s="15" t="s">
        <v>129</v>
      </c>
    </row>
    <row r="97" spans="1:5" x14ac:dyDescent="0.25">
      <c r="A97" s="13" t="s">
        <v>130</v>
      </c>
    </row>
    <row r="98" spans="1:5" x14ac:dyDescent="0.25">
      <c r="A98" s="16" t="s">
        <v>131</v>
      </c>
    </row>
    <row r="99" spans="1:5" x14ac:dyDescent="0.25">
      <c r="A99" s="14" t="s">
        <v>132</v>
      </c>
    </row>
    <row r="100" spans="1:5" x14ac:dyDescent="0.25">
      <c r="A100" s="18" t="s">
        <v>133</v>
      </c>
    </row>
    <row r="101" spans="1:5" x14ac:dyDescent="0.25">
      <c r="A101" s="18" t="s">
        <v>134</v>
      </c>
    </row>
    <row r="102" spans="1:5" x14ac:dyDescent="0.25">
      <c r="A102" s="18" t="s">
        <v>135</v>
      </c>
    </row>
    <row r="103" spans="1:5" x14ac:dyDescent="0.25">
      <c r="A103" s="14" t="s">
        <v>136</v>
      </c>
    </row>
    <row r="104" spans="1:5" x14ac:dyDescent="0.25">
      <c r="A104" s="18" t="s">
        <v>137</v>
      </c>
    </row>
    <row r="105" spans="1:5" x14ac:dyDescent="0.25">
      <c r="A105" s="21" t="s">
        <v>138</v>
      </c>
    </row>
    <row r="106" spans="1:5" x14ac:dyDescent="0.25">
      <c r="A106" s="20" t="s">
        <v>139</v>
      </c>
    </row>
    <row r="107" spans="1:5" x14ac:dyDescent="0.25">
      <c r="A107" s="14" t="s">
        <v>140</v>
      </c>
    </row>
    <row r="108" spans="1:5" x14ac:dyDescent="0.25">
      <c r="A108" s="18" t="s">
        <v>141</v>
      </c>
    </row>
    <row r="109" spans="1:5" x14ac:dyDescent="0.25">
      <c r="A109" s="18" t="s">
        <v>142</v>
      </c>
    </row>
    <row r="110" spans="1:5" x14ac:dyDescent="0.25">
      <c r="A110" s="16" t="s">
        <v>143</v>
      </c>
    </row>
    <row r="111" spans="1:5" s="28" customFormat="1" x14ac:dyDescent="0.25">
      <c r="A111" s="27" t="s">
        <v>144</v>
      </c>
      <c r="B111" s="27" t="s">
        <v>145</v>
      </c>
      <c r="E111" s="32"/>
    </row>
    <row r="112" spans="1:5" ht="24" x14ac:dyDescent="0.25">
      <c r="A112" s="25" t="s">
        <v>38</v>
      </c>
      <c r="B112" s="26" t="s">
        <v>213</v>
      </c>
    </row>
    <row r="113" spans="1:2" ht="24" x14ac:dyDescent="0.25">
      <c r="A113" s="25" t="s">
        <v>40</v>
      </c>
      <c r="B113" s="26" t="s">
        <v>146</v>
      </c>
    </row>
    <row r="114" spans="1:2" x14ac:dyDescent="0.25">
      <c r="A114" s="25" t="s">
        <v>41</v>
      </c>
      <c r="B114" s="26" t="s">
        <v>147</v>
      </c>
    </row>
    <row r="115" spans="1:2" ht="24" x14ac:dyDescent="0.25">
      <c r="A115" s="25" t="s">
        <v>42</v>
      </c>
      <c r="B115" s="26" t="s">
        <v>148</v>
      </c>
    </row>
    <row r="116" spans="1:2" x14ac:dyDescent="0.25">
      <c r="A116" s="18" t="s">
        <v>149</v>
      </c>
    </row>
    <row r="118" spans="1:2" ht="17.25" x14ac:dyDescent="0.25">
      <c r="A118" s="15" t="s">
        <v>150</v>
      </c>
    </row>
    <row r="119" spans="1:2" x14ac:dyDescent="0.25">
      <c r="A119" s="14" t="s">
        <v>151</v>
      </c>
    </row>
    <row r="120" spans="1:2" x14ac:dyDescent="0.25">
      <c r="A120" s="18" t="s">
        <v>66</v>
      </c>
    </row>
    <row r="121" spans="1:2" x14ac:dyDescent="0.25">
      <c r="A121" s="18" t="s">
        <v>152</v>
      </c>
    </row>
    <row r="122" spans="1:2" x14ac:dyDescent="0.25">
      <c r="A122" s="18" t="s">
        <v>153</v>
      </c>
    </row>
    <row r="123" spans="1:2" x14ac:dyDescent="0.25">
      <c r="A123" s="18" t="s">
        <v>154</v>
      </c>
    </row>
    <row r="124" spans="1:2" x14ac:dyDescent="0.25">
      <c r="A124" s="18" t="s">
        <v>155</v>
      </c>
    </row>
    <row r="125" spans="1:2" x14ac:dyDescent="0.25">
      <c r="A125" s="18" t="s">
        <v>156</v>
      </c>
    </row>
    <row r="126" spans="1:2" x14ac:dyDescent="0.25">
      <c r="A126" s="13" t="s">
        <v>157</v>
      </c>
    </row>
    <row r="128" spans="1:2" ht="18.75" x14ac:dyDescent="0.25">
      <c r="A128" s="12" t="s">
        <v>158</v>
      </c>
    </row>
    <row r="129" spans="1:1" ht="17.25" x14ac:dyDescent="0.25">
      <c r="A129" s="15" t="s">
        <v>159</v>
      </c>
    </row>
    <row r="130" spans="1:1" ht="28.5" x14ac:dyDescent="0.25">
      <c r="A130" s="13" t="s">
        <v>160</v>
      </c>
    </row>
    <row r="131" spans="1:1" ht="17.25" x14ac:dyDescent="0.25">
      <c r="A131" s="15" t="s">
        <v>161</v>
      </c>
    </row>
    <row r="132" spans="1:1" ht="28.5" x14ac:dyDescent="0.25">
      <c r="A132" s="13" t="s">
        <v>162</v>
      </c>
    </row>
    <row r="133" spans="1:1" ht="17.25" x14ac:dyDescent="0.25">
      <c r="A133" s="15" t="s">
        <v>163</v>
      </c>
    </row>
    <row r="134" spans="1:1" ht="28.5" x14ac:dyDescent="0.25">
      <c r="A134" s="13" t="s">
        <v>164</v>
      </c>
    </row>
    <row r="135" spans="1:1" ht="17.25" x14ac:dyDescent="0.25">
      <c r="A135" s="15" t="s">
        <v>165</v>
      </c>
    </row>
    <row r="136" spans="1:1" x14ac:dyDescent="0.25">
      <c r="A136" s="13" t="s">
        <v>166</v>
      </c>
    </row>
    <row r="137" spans="1:1" ht="17.25" x14ac:dyDescent="0.25">
      <c r="A137" s="15" t="s">
        <v>167</v>
      </c>
    </row>
    <row r="138" spans="1:1" ht="28.5" x14ac:dyDescent="0.25">
      <c r="A138" s="13" t="s">
        <v>168</v>
      </c>
    </row>
    <row r="139" spans="1:1" ht="17.25" x14ac:dyDescent="0.25">
      <c r="A139" s="15" t="s">
        <v>169</v>
      </c>
    </row>
    <row r="140" spans="1:1" ht="28.5" x14ac:dyDescent="0.25">
      <c r="A140" s="13" t="s">
        <v>170</v>
      </c>
    </row>
    <row r="141" spans="1:1" ht="17.25" x14ac:dyDescent="0.25">
      <c r="A141" s="15" t="s">
        <v>171</v>
      </c>
    </row>
    <row r="142" spans="1:1" ht="28.5" x14ac:dyDescent="0.25">
      <c r="A142" s="13" t="s">
        <v>172</v>
      </c>
    </row>
    <row r="144" spans="1:1" ht="18.75" x14ac:dyDescent="0.25">
      <c r="A144" s="12" t="s">
        <v>173</v>
      </c>
    </row>
    <row r="145" spans="1:2" x14ac:dyDescent="0.25">
      <c r="A145" s="19" t="s">
        <v>174</v>
      </c>
      <c r="B145" s="19" t="s">
        <v>175</v>
      </c>
    </row>
    <row r="146" spans="1:2" ht="24" x14ac:dyDescent="0.25">
      <c r="A146" s="22" t="s">
        <v>176</v>
      </c>
      <c r="B146" s="22" t="s">
        <v>177</v>
      </c>
    </row>
    <row r="147" spans="1:2" ht="24" x14ac:dyDescent="0.25">
      <c r="A147" s="22" t="s">
        <v>178</v>
      </c>
      <c r="B147" s="22" t="s">
        <v>179</v>
      </c>
    </row>
    <row r="148" spans="1:2" ht="24" x14ac:dyDescent="0.25">
      <c r="A148" s="22" t="s">
        <v>180</v>
      </c>
      <c r="B148" s="22" t="s">
        <v>181</v>
      </c>
    </row>
    <row r="149" spans="1:2" ht="24" x14ac:dyDescent="0.25">
      <c r="A149" s="22" t="s">
        <v>182</v>
      </c>
      <c r="B149" s="22" t="s">
        <v>183</v>
      </c>
    </row>
    <row r="150" spans="1:2" ht="24" x14ac:dyDescent="0.25">
      <c r="A150" s="22" t="s">
        <v>184</v>
      </c>
      <c r="B150" s="22" t="s">
        <v>185</v>
      </c>
    </row>
    <row r="151" spans="1:2" x14ac:dyDescent="0.25">
      <c r="A151" s="22" t="s">
        <v>186</v>
      </c>
      <c r="B151" s="22" t="s">
        <v>187</v>
      </c>
    </row>
    <row r="153" spans="1:2" ht="18.75" x14ac:dyDescent="0.25">
      <c r="A153" s="12" t="s">
        <v>188</v>
      </c>
    </row>
    <row r="154" spans="1:2" x14ac:dyDescent="0.25">
      <c r="A154" s="20" t="s">
        <v>189</v>
      </c>
    </row>
    <row r="155" spans="1:2" x14ac:dyDescent="0.25">
      <c r="A155" s="20" t="s">
        <v>190</v>
      </c>
    </row>
    <row r="156" spans="1:2" ht="28.5" x14ac:dyDescent="0.25">
      <c r="A156" s="14" t="s">
        <v>191</v>
      </c>
    </row>
    <row r="158" spans="1:2" ht="18.75" x14ac:dyDescent="0.25">
      <c r="A158" s="12" t="s">
        <v>192</v>
      </c>
    </row>
    <row r="159" spans="1:2" x14ac:dyDescent="0.25">
      <c r="A159" s="18" t="s">
        <v>193</v>
      </c>
    </row>
    <row r="160" spans="1:2" ht="28.5" x14ac:dyDescent="0.25">
      <c r="A160" s="18" t="s">
        <v>194</v>
      </c>
    </row>
    <row r="161" spans="1:1" ht="28.5" x14ac:dyDescent="0.25">
      <c r="A161" s="18" t="s">
        <v>195</v>
      </c>
    </row>
    <row r="162" spans="1:1" x14ac:dyDescent="0.25">
      <c r="A162" s="18" t="s">
        <v>196</v>
      </c>
    </row>
    <row r="164" spans="1:1" ht="18.75" x14ac:dyDescent="0.25">
      <c r="A164" s="12" t="s">
        <v>197</v>
      </c>
    </row>
    <row r="165" spans="1:1" x14ac:dyDescent="0.25">
      <c r="A165" s="17" t="s">
        <v>198</v>
      </c>
    </row>
    <row r="166" spans="1:1" x14ac:dyDescent="0.25">
      <c r="A166" s="23" t="s">
        <v>199</v>
      </c>
    </row>
    <row r="167" spans="1:1" x14ac:dyDescent="0.25">
      <c r="A167" s="23" t="s">
        <v>200</v>
      </c>
    </row>
    <row r="168" spans="1:1" x14ac:dyDescent="0.25">
      <c r="A168" s="23" t="s">
        <v>201</v>
      </c>
    </row>
    <row r="169" spans="1:1" x14ac:dyDescent="0.25">
      <c r="A169" s="23" t="s">
        <v>202</v>
      </c>
    </row>
    <row r="170" spans="1:1" x14ac:dyDescent="0.25">
      <c r="A170" s="23" t="s">
        <v>203</v>
      </c>
    </row>
    <row r="171" spans="1:1" x14ac:dyDescent="0.25">
      <c r="A171" s="23" t="s">
        <v>204</v>
      </c>
    </row>
    <row r="173" spans="1:1" x14ac:dyDescent="0.25">
      <c r="A173" s="14" t="s">
        <v>205</v>
      </c>
    </row>
    <row r="174" spans="1:1" x14ac:dyDescent="0.25">
      <c r="A174" s="13" t="s">
        <v>206</v>
      </c>
    </row>
    <row r="175" spans="1:1" x14ac:dyDescent="0.25">
      <c r="A175" s="13"/>
    </row>
    <row r="176" spans="1:1" x14ac:dyDescent="0.25">
      <c r="A176" s="13"/>
    </row>
    <row r="177" spans="1:1" x14ac:dyDescent="0.25">
      <c r="A177" s="13"/>
    </row>
    <row r="178" spans="1:1" x14ac:dyDescent="0.25">
      <c r="A178" s="13"/>
    </row>
    <row r="179" spans="1:1" x14ac:dyDescent="0.25">
      <c r="A179" s="13"/>
    </row>
    <row r="180" spans="1:1" x14ac:dyDescent="0.25">
      <c r="A180" s="13"/>
    </row>
    <row r="181" spans="1:1" x14ac:dyDescent="0.25">
      <c r="A181" s="13"/>
    </row>
    <row r="182" spans="1:1" x14ac:dyDescent="0.25">
      <c r="A182" s="13"/>
    </row>
    <row r="183" spans="1:1" x14ac:dyDescent="0.25">
      <c r="A183" s="13"/>
    </row>
    <row r="184" spans="1:1" x14ac:dyDescent="0.25">
      <c r="A184" s="13"/>
    </row>
    <row r="185" spans="1:1" x14ac:dyDescent="0.25">
      <c r="A185" s="13"/>
    </row>
    <row r="186" spans="1:1" x14ac:dyDescent="0.25">
      <c r="A186" s="13"/>
    </row>
    <row r="187" spans="1:1" x14ac:dyDescent="0.25">
      <c r="A187" s="13"/>
    </row>
    <row r="188" spans="1:1" x14ac:dyDescent="0.25">
      <c r="A188" s="13"/>
    </row>
    <row r="189" spans="1:1" x14ac:dyDescent="0.25">
      <c r="A189" s="13"/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Control 1">
          <controlPr defaultSize="0" r:id="rId5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2600325</xdr:colOff>
                <xdr:row>192</xdr:row>
                <xdr:rowOff>9525</xdr:rowOff>
              </to>
            </anchor>
          </controlPr>
        </control>
      </mc:Choice>
      <mc:Fallback>
        <control shapeId="4097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2" sqref="D12"/>
    </sheetView>
  </sheetViews>
  <sheetFormatPr defaultRowHeight="15" x14ac:dyDescent="0.25"/>
  <cols>
    <col min="1" max="1" width="13.28515625" customWidth="1"/>
    <col min="2" max="2" width="12.28515625" customWidth="1"/>
    <col min="3" max="3" width="28.7109375" customWidth="1"/>
    <col min="4" max="4" width="25.28515625" bestFit="1" customWidth="1"/>
    <col min="5" max="5" width="13.42578125" style="5" customWidth="1"/>
    <col min="6" max="6" width="29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</row>
    <row r="2" spans="1:6" x14ac:dyDescent="0.25">
      <c r="A2" s="3"/>
    </row>
  </sheetData>
  <dataValidations count="2">
    <dataValidation type="list" allowBlank="1" showInputMessage="1" showErrorMessage="1" sqref="C2">
      <formula1>IF($B2="Приток",INDIRECT("ГруппыПриток"),INDIRECT("ГруппаОтток"))</formula1>
    </dataValidation>
    <dataValidation type="list" allowBlank="1" showInputMessage="1" showErrorMessage="1" sqref="D2">
      <formula1>IF($B2="Приток",INDIRECT("АналитикаПриток"),INDIRECT("АналитикаОтток"))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Справочники!$I$2:$I$3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2"/>
  <sheetViews>
    <sheetView showGridLines="0" workbookViewId="0">
      <selection activeCell="M12" sqref="M12"/>
    </sheetView>
  </sheetViews>
  <sheetFormatPr defaultRowHeight="15" x14ac:dyDescent="0.25"/>
  <cols>
    <col min="1" max="1" width="28.42578125" customWidth="1"/>
    <col min="2" max="2" width="14.42578125" customWidth="1"/>
    <col min="3" max="3" width="6.85546875" customWidth="1"/>
  </cols>
  <sheetData>
    <row r="2" spans="1:2" ht="91.9" customHeight="1" x14ac:dyDescent="0.25"/>
    <row r="3" spans="1:2" s="1" customFormat="1" x14ac:dyDescent="0.25">
      <c r="A3" s="8" t="s">
        <v>38</v>
      </c>
      <c r="B3" s="1" t="s">
        <v>39</v>
      </c>
    </row>
    <row r="4" spans="1:2" x14ac:dyDescent="0.25">
      <c r="A4" s="7" t="s">
        <v>215</v>
      </c>
      <c r="B4" s="5"/>
    </row>
    <row r="6" spans="1:2" x14ac:dyDescent="0.25">
      <c r="A6" t="s">
        <v>36</v>
      </c>
      <c r="B6" s="5" t="e">
        <f>GETPIVOTDATA("Сумма",$A$3,"Операция","Приток")-GETPIVOTDATA("Сумма",$A$3,"Операция","Отток")</f>
        <v>#REF!</v>
      </c>
    </row>
    <row r="8" spans="1:2" ht="82.9" customHeight="1" x14ac:dyDescent="0.25"/>
    <row r="10" spans="1:2" ht="50.45" customHeight="1" x14ac:dyDescent="0.25"/>
    <row r="11" spans="1:2" x14ac:dyDescent="0.25">
      <c r="A11" s="6" t="s">
        <v>1</v>
      </c>
      <c r="B11" t="s">
        <v>214</v>
      </c>
    </row>
    <row r="12" spans="1:2" ht="8.4499999999999993" customHeight="1" x14ac:dyDescent="0.25"/>
    <row r="13" spans="1:2" s="1" customFormat="1" x14ac:dyDescent="0.25">
      <c r="A13" s="8" t="s">
        <v>40</v>
      </c>
      <c r="B13" s="1" t="s">
        <v>39</v>
      </c>
    </row>
    <row r="14" spans="1:2" x14ac:dyDescent="0.25">
      <c r="A14" s="7" t="s">
        <v>37</v>
      </c>
      <c r="B14" s="5"/>
    </row>
    <row r="23" spans="1:2" x14ac:dyDescent="0.25">
      <c r="A23" s="6" t="s">
        <v>1</v>
      </c>
      <c r="B23" t="s">
        <v>214</v>
      </c>
    </row>
    <row r="25" spans="1:2" s="1" customFormat="1" x14ac:dyDescent="0.25">
      <c r="A25" s="8" t="s">
        <v>41</v>
      </c>
      <c r="B25" s="1" t="s">
        <v>39</v>
      </c>
    </row>
    <row r="26" spans="1:2" x14ac:dyDescent="0.25">
      <c r="A26" s="7" t="s">
        <v>37</v>
      </c>
      <c r="B26" s="5"/>
    </row>
    <row r="37" spans="1:2" ht="39.6" customHeight="1" x14ac:dyDescent="0.25"/>
    <row r="38" spans="1:2" ht="15" customHeight="1" x14ac:dyDescent="0.25"/>
    <row r="39" spans="1:2" x14ac:dyDescent="0.25">
      <c r="A39" s="6" t="s">
        <v>1</v>
      </c>
      <c r="B39" t="s">
        <v>214</v>
      </c>
    </row>
    <row r="41" spans="1:2" s="1" customFormat="1" x14ac:dyDescent="0.25">
      <c r="A41" s="8" t="s">
        <v>42</v>
      </c>
      <c r="B41" s="1" t="s">
        <v>39</v>
      </c>
    </row>
    <row r="42" spans="1:2" x14ac:dyDescent="0.25">
      <c r="A42" s="7" t="s">
        <v>37</v>
      </c>
      <c r="B42" s="5"/>
    </row>
  </sheetData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M12" sqref="M12"/>
    </sheetView>
  </sheetViews>
  <sheetFormatPr defaultRowHeight="15" x14ac:dyDescent="0.25"/>
  <cols>
    <col min="1" max="1" width="28.7109375" customWidth="1"/>
    <col min="2" max="2" width="2" customWidth="1"/>
    <col min="3" max="3" width="26.85546875" customWidth="1"/>
    <col min="4" max="4" width="2.28515625" customWidth="1"/>
    <col min="5" max="5" width="28.5703125" customWidth="1"/>
    <col min="6" max="6" width="1.7109375" customWidth="1"/>
    <col min="7" max="7" width="26.85546875" customWidth="1"/>
    <col min="8" max="8" width="2.140625" customWidth="1"/>
    <col min="9" max="9" width="12.5703125" customWidth="1"/>
    <col min="10" max="10" width="1.85546875" customWidth="1"/>
  </cols>
  <sheetData>
    <row r="1" spans="1:9" s="2" customFormat="1" x14ac:dyDescent="0.25">
      <c r="A1" s="2" t="s">
        <v>30</v>
      </c>
      <c r="C1" s="2" t="s">
        <v>31</v>
      </c>
      <c r="E1" s="2" t="s">
        <v>32</v>
      </c>
      <c r="G1" s="2" t="s">
        <v>33</v>
      </c>
      <c r="I1" s="2" t="s">
        <v>1</v>
      </c>
    </row>
    <row r="2" spans="1:9" x14ac:dyDescent="0.25">
      <c r="A2" t="s">
        <v>12</v>
      </c>
      <c r="C2" t="s">
        <v>13</v>
      </c>
      <c r="E2" t="s">
        <v>34</v>
      </c>
      <c r="G2" t="s">
        <v>11</v>
      </c>
      <c r="I2" t="s">
        <v>8</v>
      </c>
    </row>
    <row r="3" spans="1:9" x14ac:dyDescent="0.25">
      <c r="A3" t="s">
        <v>16</v>
      </c>
      <c r="C3" t="s">
        <v>27</v>
      </c>
      <c r="E3" t="s">
        <v>35</v>
      </c>
      <c r="G3" t="s">
        <v>19</v>
      </c>
      <c r="I3" t="s">
        <v>6</v>
      </c>
    </row>
    <row r="4" spans="1:9" x14ac:dyDescent="0.25">
      <c r="A4" t="s">
        <v>7</v>
      </c>
      <c r="C4" t="s">
        <v>29</v>
      </c>
      <c r="E4" t="s">
        <v>10</v>
      </c>
      <c r="G4" t="s">
        <v>10</v>
      </c>
    </row>
    <row r="5" spans="1:9" x14ac:dyDescent="0.25">
      <c r="A5" t="s">
        <v>22</v>
      </c>
      <c r="C5" t="s">
        <v>19</v>
      </c>
      <c r="E5" t="s">
        <v>18</v>
      </c>
      <c r="G5" t="s">
        <v>15</v>
      </c>
    </row>
    <row r="6" spans="1:9" x14ac:dyDescent="0.25">
      <c r="A6" t="s">
        <v>18</v>
      </c>
      <c r="C6" t="s">
        <v>28</v>
      </c>
      <c r="E6" t="s">
        <v>14</v>
      </c>
      <c r="G6" t="s">
        <v>21</v>
      </c>
    </row>
    <row r="7" spans="1:9" x14ac:dyDescent="0.25">
      <c r="A7" t="s">
        <v>24</v>
      </c>
      <c r="C7" t="s">
        <v>17</v>
      </c>
    </row>
    <row r="8" spans="1:9" x14ac:dyDescent="0.25">
      <c r="C8" t="s">
        <v>10</v>
      </c>
    </row>
    <row r="9" spans="1:9" x14ac:dyDescent="0.25">
      <c r="C9" t="s">
        <v>9</v>
      </c>
    </row>
    <row r="10" spans="1:9" x14ac:dyDescent="0.25">
      <c r="C10" t="s">
        <v>25</v>
      </c>
    </row>
    <row r="11" spans="1:9" x14ac:dyDescent="0.25">
      <c r="C11" t="s">
        <v>23</v>
      </c>
    </row>
    <row r="12" spans="1:9" x14ac:dyDescent="0.25">
      <c r="C12" t="s">
        <v>20</v>
      </c>
    </row>
    <row r="13" spans="1:9" x14ac:dyDescent="0.25">
      <c r="C13" t="s">
        <v>26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Данные</vt:lpstr>
      <vt:lpstr>Отчет</vt:lpstr>
      <vt:lpstr>Справочники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Сакен</cp:lastModifiedBy>
  <dcterms:created xsi:type="dcterms:W3CDTF">2026-09-18T18:09:28Z</dcterms:created>
  <dcterms:modified xsi:type="dcterms:W3CDTF">2026-09-21T09:22:41Z</dcterms:modified>
</cp:coreProperties>
</file>